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334" documentId="13_ncr:1_{C33271F6-7B2F-45C8-B23D-24BE88135F3D}" xr6:coauthVersionLast="47" xr6:coauthVersionMax="47" xr10:uidLastSave="{07190534-B714-4DC7-BE5F-8D43378D6448}"/>
  <bookViews>
    <workbookView xWindow="28680" yWindow="660" windowWidth="29040" windowHeight="16440" xr2:uid="{00000000-000D-0000-FFFF-FFFF00000000}"/>
  </bookViews>
  <sheets>
    <sheet name="Pivot Table" sheetId="2" r:id="rId1"/>
    <sheet name="Most Popular Bikes" sheetId="3" r:id="rId2"/>
    <sheet name="Sheet1" sheetId="4" r:id="rId3"/>
    <sheet name="Bike Sales" sheetId="1" r:id="rId4"/>
  </sheets>
  <calcPr calcId="191028"/>
  <pivotCaches>
    <pivotCache cacheId="52" r:id="rId5"/>
    <pivotCache cacheId="5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" l="1" a="1"/>
  <c r="U1" i="1" s="1"/>
  <c r="U45" i="1" a="1"/>
  <c r="U45" i="1"/>
  <c r="R49" i="1"/>
  <c r="R60" i="1"/>
  <c r="R2" i="1"/>
  <c r="R58" i="1"/>
  <c r="R50" i="1"/>
  <c r="R89" i="1"/>
  <c r="R3" i="1"/>
  <c r="R61" i="1"/>
  <c r="R43" i="1"/>
  <c r="R4" i="1"/>
  <c r="R62" i="1"/>
  <c r="R51" i="1"/>
  <c r="R29" i="1"/>
  <c r="R5" i="1"/>
  <c r="R52" i="1"/>
  <c r="R63" i="1"/>
  <c r="R64" i="1"/>
  <c r="R6" i="1"/>
  <c r="R30" i="1"/>
  <c r="R65" i="1"/>
  <c r="R66" i="1"/>
  <c r="R7" i="1"/>
  <c r="R44" i="1"/>
  <c r="R67" i="1"/>
  <c r="R8" i="1"/>
  <c r="R53" i="1"/>
  <c r="R68" i="1"/>
  <c r="R69" i="1"/>
  <c r="R9" i="1"/>
  <c r="R35" i="1"/>
  <c r="R10" i="1"/>
  <c r="R31" i="1"/>
  <c r="R70" i="1"/>
  <c r="R71" i="1"/>
  <c r="R11" i="1"/>
  <c r="R72" i="1"/>
  <c r="R12" i="1"/>
  <c r="R13" i="1"/>
  <c r="R73" i="1"/>
  <c r="R14" i="1"/>
  <c r="R74" i="1"/>
  <c r="R54" i="1"/>
  <c r="R55" i="1"/>
  <c r="R75" i="1"/>
  <c r="R76" i="1"/>
  <c r="R15" i="1"/>
  <c r="R77" i="1"/>
  <c r="R16" i="1"/>
  <c r="R17" i="1"/>
  <c r="R36" i="1"/>
  <c r="R78" i="1"/>
  <c r="R18" i="1"/>
  <c r="R45" i="1"/>
  <c r="R19" i="1"/>
  <c r="R46" i="1"/>
  <c r="R37" i="1"/>
  <c r="R56" i="1"/>
  <c r="R79" i="1"/>
  <c r="R38" i="1"/>
  <c r="R80" i="1"/>
  <c r="R39" i="1"/>
  <c r="R20" i="1"/>
  <c r="R40" i="1"/>
  <c r="R81" i="1"/>
  <c r="R82" i="1"/>
  <c r="R83" i="1"/>
  <c r="R21" i="1"/>
  <c r="R22" i="1"/>
  <c r="R47" i="1"/>
  <c r="R84" i="1"/>
  <c r="R23" i="1"/>
  <c r="R24" i="1"/>
  <c r="R32" i="1"/>
  <c r="R25" i="1"/>
  <c r="R26" i="1"/>
  <c r="R41" i="1"/>
  <c r="R57" i="1"/>
  <c r="R85" i="1"/>
  <c r="R86" i="1"/>
  <c r="R27" i="1"/>
  <c r="R42" i="1"/>
  <c r="R33" i="1"/>
  <c r="R48" i="1"/>
  <c r="R87" i="1"/>
  <c r="R34" i="1"/>
  <c r="R88" i="1"/>
  <c r="R28" i="1"/>
  <c r="R59" i="1"/>
  <c r="S49" i="1"/>
  <c r="S60" i="1"/>
  <c r="S2" i="1"/>
  <c r="S58" i="1"/>
  <c r="S50" i="1"/>
  <c r="S89" i="1"/>
  <c r="S3" i="1"/>
  <c r="S61" i="1"/>
  <c r="S43" i="1"/>
  <c r="S4" i="1"/>
  <c r="S62" i="1"/>
  <c r="S51" i="1"/>
  <c r="S29" i="1"/>
  <c r="S5" i="1"/>
  <c r="S52" i="1"/>
  <c r="S63" i="1"/>
  <c r="S64" i="1"/>
  <c r="S6" i="1"/>
  <c r="S30" i="1"/>
  <c r="S65" i="1"/>
  <c r="S66" i="1"/>
  <c r="S7" i="1"/>
  <c r="S44" i="1"/>
  <c r="S67" i="1"/>
  <c r="S8" i="1"/>
  <c r="S53" i="1"/>
  <c r="S68" i="1"/>
  <c r="S69" i="1"/>
  <c r="S9" i="1"/>
  <c r="S35" i="1"/>
  <c r="S10" i="1"/>
  <c r="S31" i="1"/>
  <c r="S70" i="1"/>
  <c r="S71" i="1"/>
  <c r="S11" i="1"/>
  <c r="S72" i="1"/>
  <c r="S12" i="1"/>
  <c r="S13" i="1"/>
  <c r="S73" i="1"/>
  <c r="S14" i="1"/>
  <c r="S74" i="1"/>
  <c r="S54" i="1"/>
  <c r="S55" i="1"/>
  <c r="S75" i="1"/>
  <c r="S76" i="1"/>
  <c r="S15" i="1"/>
  <c r="S77" i="1"/>
  <c r="S16" i="1"/>
  <c r="S17" i="1"/>
  <c r="S36" i="1"/>
  <c r="S78" i="1"/>
  <c r="S18" i="1"/>
  <c r="S45" i="1"/>
  <c r="S19" i="1"/>
  <c r="S46" i="1"/>
  <c r="S37" i="1"/>
  <c r="S56" i="1"/>
  <c r="S79" i="1"/>
  <c r="S38" i="1"/>
  <c r="S80" i="1"/>
  <c r="S39" i="1"/>
  <c r="S20" i="1"/>
  <c r="S40" i="1"/>
  <c r="S81" i="1"/>
  <c r="S82" i="1"/>
  <c r="S83" i="1"/>
  <c r="S21" i="1"/>
  <c r="S22" i="1"/>
  <c r="S47" i="1"/>
  <c r="S84" i="1"/>
  <c r="S23" i="1"/>
  <c r="S24" i="1"/>
  <c r="S32" i="1"/>
  <c r="S25" i="1"/>
  <c r="S26" i="1"/>
  <c r="S41" i="1"/>
  <c r="S57" i="1"/>
  <c r="S85" i="1"/>
  <c r="S86" i="1"/>
  <c r="S27" i="1"/>
  <c r="S42" i="1"/>
  <c r="S33" i="1"/>
  <c r="S48" i="1"/>
  <c r="S87" i="1"/>
  <c r="S34" i="1"/>
  <c r="S88" i="1"/>
  <c r="S28" i="1"/>
  <c r="S5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<sst xmlns="http://schemas.openxmlformats.org/spreadsheetml/2006/main" count="937" uniqueCount="165">
  <si>
    <t>Sum of Order_Quantity</t>
  </si>
  <si>
    <t>Country</t>
  </si>
  <si>
    <t>Age_Group</t>
  </si>
  <si>
    <t>Product_Description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</si>
  <si>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</si>
  <si>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</si>
  <si>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</si>
  <si>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</si>
  <si>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</si>
  <si>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</si>
  <si>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</si>
  <si>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</si>
  <si>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Mountain-200 Black, 38</t>
  </si>
  <si>
    <t>Mountain-200 Silver, 38</t>
  </si>
  <si>
    <t>Mountain-200 Silver, 46</t>
  </si>
  <si>
    <t>Mountain-400-W Silver, 46</t>
  </si>
  <si>
    <t>Mountain-500 Black, 40</t>
  </si>
  <si>
    <t>Mountain-500 Black, 44</t>
  </si>
  <si>
    <t>Mountain-500 Silver, 42</t>
  </si>
  <si>
    <t>Youth (&lt;25) Total</t>
  </si>
  <si>
    <t>Young Adults (25-34)</t>
  </si>
  <si>
    <t>Mountain-100 Black, 38</t>
  </si>
  <si>
    <t>Mountain-100 Silver, 44</t>
  </si>
  <si>
    <t>Mountain-200 Black, 42</t>
  </si>
  <si>
    <t>Mountain-200 Black, 46</t>
  </si>
  <si>
    <t>Mountain-200 Silver, 42</t>
  </si>
  <si>
    <t>Mountain-400-W Silver, 38</t>
  </si>
  <si>
    <t>Mountain-400-W Silver, 42</t>
  </si>
  <si>
    <t>Mountain-500 Black, 52</t>
  </si>
  <si>
    <t>Young Adults (25-34) Total</t>
  </si>
  <si>
    <t>Adults (35-64)</t>
  </si>
  <si>
    <t>Mountain-100 Black, 48</t>
  </si>
  <si>
    <t>Mountain-500 Black, 42</t>
  </si>
  <si>
    <t>Mountain-500 Silver, 40</t>
  </si>
  <si>
    <t>Adults (35-64) Total</t>
  </si>
  <si>
    <t>Customer_Gender</t>
  </si>
  <si>
    <t>Sub_Category</t>
  </si>
  <si>
    <t>Count of Sales_Order #</t>
  </si>
  <si>
    <t>F</t>
  </si>
  <si>
    <t>Mountain Bikes</t>
  </si>
  <si>
    <t>Mountain Bikes Total</t>
  </si>
  <si>
    <t>F Total</t>
  </si>
  <si>
    <t>M</t>
  </si>
  <si>
    <t>M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</si>
  <si>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</si>
  <si>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</si>
  <si>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</si>
  <si>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</si>
  <si>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</si>
  <si>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</si>
  <si>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</si>
  <si>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</si>
  <si>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</si>
  <si>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</si>
  <si>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</si>
  <si>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</si>
  <si>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</si>
  <si>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</si>
  <si>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000261698</t>
  </si>
  <si>
    <t>December</t>
  </si>
  <si>
    <t>New South Wales</t>
  </si>
  <si>
    <t>Bikes</t>
  </si>
  <si>
    <t>000261702</t>
  </si>
  <si>
    <t>000261705</t>
  </si>
  <si>
    <t>Queensland</t>
  </si>
  <si>
    <t>000261709</t>
  </si>
  <si>
    <t>000261713</t>
  </si>
  <si>
    <t>000261717</t>
  </si>
  <si>
    <t>Victoria</t>
  </si>
  <si>
    <t>000261720</t>
  </si>
  <si>
    <t>000261724</t>
  </si>
  <si>
    <t>000261726</t>
  </si>
  <si>
    <t>000261730</t>
  </si>
  <si>
    <t>000261732</t>
  </si>
  <si>
    <t>000261733</t>
  </si>
  <si>
    <t>000261735</t>
  </si>
  <si>
    <t>000261741</t>
  </si>
  <si>
    <t>000261743</t>
  </si>
  <si>
    <t>000261744</t>
  </si>
  <si>
    <t>000261747</t>
  </si>
  <si>
    <t>000261749</t>
  </si>
  <si>
    <t>000261757</t>
  </si>
  <si>
    <t>000261762</t>
  </si>
  <si>
    <t>000261763</t>
  </si>
  <si>
    <t>South Australia</t>
  </si>
  <si>
    <t>000261766</t>
  </si>
  <si>
    <t>000261767</t>
  </si>
  <si>
    <t>000261769</t>
  </si>
  <si>
    <t>000261770</t>
  </si>
  <si>
    <t>000261775</t>
  </si>
  <si>
    <t>000261782</t>
  </si>
  <si>
    <t>000261708</t>
  </si>
  <si>
    <t>British Columbia</t>
  </si>
  <si>
    <t>000261714</t>
  </si>
  <si>
    <t>000261727</t>
  </si>
  <si>
    <t>000261768</t>
  </si>
  <si>
    <t>000261777</t>
  </si>
  <si>
    <t>000261780</t>
  </si>
  <si>
    <t>000261725</t>
  </si>
  <si>
    <t>Seine (Paris)</t>
  </si>
  <si>
    <t>000261745</t>
  </si>
  <si>
    <t>Seine et Marne</t>
  </si>
  <si>
    <t>000261751</t>
  </si>
  <si>
    <t>Seine Saint Denis</t>
  </si>
  <si>
    <t>000261754</t>
  </si>
  <si>
    <t>000261756</t>
  </si>
  <si>
    <t>Nord</t>
  </si>
  <si>
    <t>000261758</t>
  </si>
  <si>
    <t>000261771</t>
  </si>
  <si>
    <t>Somme</t>
  </si>
  <si>
    <t>000261776</t>
  </si>
  <si>
    <t>000261704</t>
  </si>
  <si>
    <t>Nordrhein-Westfalen</t>
  </si>
  <si>
    <t>000261718</t>
  </si>
  <si>
    <t>Hamburg</t>
  </si>
  <si>
    <t>000261748</t>
  </si>
  <si>
    <t>000261750</t>
  </si>
  <si>
    <t>000261764</t>
  </si>
  <si>
    <t>Hessen</t>
  </si>
  <si>
    <t>000261778</t>
  </si>
  <si>
    <t>000261695</t>
  </si>
  <si>
    <t>England</t>
  </si>
  <si>
    <t>000261700</t>
  </si>
  <si>
    <t>000261707</t>
  </si>
  <si>
    <t>000261710</t>
  </si>
  <si>
    <t>000261721</t>
  </si>
  <si>
    <t>000261737</t>
  </si>
  <si>
    <t>000261738</t>
  </si>
  <si>
    <t>000261752</t>
  </si>
  <si>
    <t>000261772</t>
  </si>
  <si>
    <t>000261699</t>
  </si>
  <si>
    <t>California</t>
  </si>
  <si>
    <t>000261696</t>
  </si>
  <si>
    <t>000261697</t>
  </si>
  <si>
    <t>000261703</t>
  </si>
  <si>
    <t>000261706</t>
  </si>
  <si>
    <t>000261711</t>
  </si>
  <si>
    <t>000261712</t>
  </si>
  <si>
    <t>000261715</t>
  </si>
  <si>
    <t>Oregon</t>
  </si>
  <si>
    <t>000261716</t>
  </si>
  <si>
    <t>000261719</t>
  </si>
  <si>
    <t>000261722</t>
  </si>
  <si>
    <t>000261723</t>
  </si>
  <si>
    <t>Washington</t>
  </si>
  <si>
    <t>000261728</t>
  </si>
  <si>
    <t>000261729</t>
  </si>
  <si>
    <t>000261731</t>
  </si>
  <si>
    <t>000261734</t>
  </si>
  <si>
    <t>000261736</t>
  </si>
  <si>
    <t>000261739</t>
  </si>
  <si>
    <t>000261740</t>
  </si>
  <si>
    <t>000261742</t>
  </si>
  <si>
    <t>000261746</t>
  </si>
  <si>
    <t>000261753</t>
  </si>
  <si>
    <t>000261755</t>
  </si>
  <si>
    <t>000261759</t>
  </si>
  <si>
    <t>000261760</t>
  </si>
  <si>
    <t>000261761</t>
  </si>
  <si>
    <t>000261765</t>
  </si>
  <si>
    <t>000261773</t>
  </si>
  <si>
    <t>000261774</t>
  </si>
  <si>
    <t>000261779</t>
  </si>
  <si>
    <t>000261781</t>
  </si>
  <si>
    <t>000261701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</si>
</sst>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14" fontId="0" fillId="34" borderId="10" xfId="0" applyNumberFormat="1" applyFill="1" applyBorder="1"/>
    <xf numFmtId="0" fontId="0" fillId="34" borderId="10" xfId="0" applyFill="1" applyBorder="1"/>
    <xf numFmtId="0" fontId="0" fillId="34" borderId="10" xfId="0" applyFill="1" applyBorder="1" applyAlignment="1">
      <alignment horizontal="left"/>
    </xf>
    <xf numFmtId="0" fontId="19" fillId="34" borderId="10" xfId="0" applyFont="1" applyFill="1" applyBorder="1"/>
    <xf numFmtId="8" fontId="0" fillId="34" borderId="10" xfId="0" applyNumberFormat="1" applyFill="1" applyBorder="1"/>
    <xf numFmtId="14" fontId="0" fillId="0" borderId="10" xfId="0" applyNumberFormat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19" fillId="0" borderId="10" xfId="0" applyFont="1" applyBorder="1"/>
    <xf numFmtId="8" fontId="0" fillId="0" borderId="10" xfId="0" applyNumberFormat="1" applyBorder="1"/>
    <xf numFmtId="49" fontId="0" fillId="34" borderId="10" xfId="0" applyNumberFormat="1" applyFill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0" fontId="13" fillId="33" borderId="0" xfId="0" applyFont="1" applyFill="1"/>
    <xf numFmtId="0" fontId="13" fillId="33" borderId="0" xfId="0" applyFont="1" applyFill="1" applyAlignment="1">
      <alignment horizontal="left"/>
    </xf>
    <xf numFmtId="0" fontId="20" fillId="33" borderId="0" xfId="0" applyFont="1" applyFill="1"/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'Pivot Table'!$A$5:$B$40</c:f>
              <c:multiLvlStrCache>
                <c:ptCount val="32"/>
                <c:lvl>
                  <c:pt idx="0">
                    <c:v>Mountain-200 Black, 38</c:v>
                  </c:pt>
                  <c:pt idx="1">
                    <c:v>Mountain-200 Silver, 38</c:v>
                  </c:pt>
                  <c:pt idx="2">
                    <c:v>Mountain-200 Silver, 46</c:v>
                  </c:pt>
                  <c:pt idx="3">
                    <c:v>Mountain-400-W Silver, 46</c:v>
                  </c:pt>
                  <c:pt idx="4">
                    <c:v>Mountain-500 Black, 40</c:v>
                  </c:pt>
                  <c:pt idx="5">
                    <c:v>Mountain-500 Black, 44</c:v>
                  </c:pt>
                  <c:pt idx="6">
                    <c:v>Mountain-500 Silver, 42</c:v>
                  </c:pt>
                  <c:pt idx="7">
                    <c:v>Mountain-100 Black, 38</c:v>
                  </c:pt>
                  <c:pt idx="8">
                    <c:v>Mountain-100 Silver, 44</c:v>
                  </c:pt>
                  <c:pt idx="9">
                    <c:v>Mountain-200 Black, 38</c:v>
                  </c:pt>
                  <c:pt idx="10">
                    <c:v>Mountain-200 Black, 42</c:v>
                  </c:pt>
                  <c:pt idx="11">
                    <c:v>Mountain-200 Black, 46</c:v>
                  </c:pt>
                  <c:pt idx="12">
                    <c:v>Mountain-200 Silver, 38</c:v>
                  </c:pt>
                  <c:pt idx="13">
                    <c:v>Mountain-200 Silver, 42</c:v>
                  </c:pt>
                  <c:pt idx="14">
                    <c:v>Mountain-200 Silver, 46</c:v>
                  </c:pt>
                  <c:pt idx="15">
                    <c:v>Mountain-400-W Silver, 38</c:v>
                  </c:pt>
                  <c:pt idx="16">
                    <c:v>Mountain-400-W Silver, 42</c:v>
                  </c:pt>
                  <c:pt idx="17">
                    <c:v>Mountain-400-W Silver, 46</c:v>
                  </c:pt>
                  <c:pt idx="18">
                    <c:v>Mountain-500 Black, 40</c:v>
                  </c:pt>
                  <c:pt idx="19">
                    <c:v>Mountain-500 Black, 52</c:v>
                  </c:pt>
                  <c:pt idx="20">
                    <c:v>Mountain-100 Black, 48</c:v>
                  </c:pt>
                  <c:pt idx="21">
                    <c:v>Mountain-200 Black, 38</c:v>
                  </c:pt>
                  <c:pt idx="22">
                    <c:v>Mountain-200 Black, 42</c:v>
                  </c:pt>
                  <c:pt idx="23">
                    <c:v>Mountain-200 Black, 46</c:v>
                  </c:pt>
                  <c:pt idx="24">
                    <c:v>Mountain-200 Silver, 38</c:v>
                  </c:pt>
                  <c:pt idx="25">
                    <c:v>Mountain-200 Silver, 42</c:v>
                  </c:pt>
                  <c:pt idx="26">
                    <c:v>Mountain-200 Silver, 46</c:v>
                  </c:pt>
                  <c:pt idx="27">
                    <c:v>Mountain-400-W Silver, 38</c:v>
                  </c:pt>
                  <c:pt idx="28">
                    <c:v>Mountain-400-W Silver, 46</c:v>
                  </c:pt>
                  <c:pt idx="29">
                    <c:v>Mountain-500 Black, 42</c:v>
                  </c:pt>
                  <c:pt idx="30">
                    <c:v>Mountain-500 Silver, 40</c:v>
                  </c:pt>
                  <c:pt idx="31">
                    <c:v>Mountain-500 Silver, 42</c:v>
                  </c:pt>
                </c:lvl>
                <c:lvl>
                  <c:pt idx="0">
                    <c:v>Youth (&lt;25)</c:v>
                  </c:pt>
                  <c:pt idx="7">
                    <c:v>Young Adults (25-34)</c:v>
                  </c:pt>
                  <c:pt idx="20">
                    <c:v>Adults (35-64)</c:v>
                  </c:pt>
                </c:lvl>
              </c:multiLvlStrCache>
            </c:multiLvlStrRef>
          </c:cat>
          <c:val>
            <c:numRef>
              <c:f>'Pivot Table'!$C$5:$C$40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6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7</c:v>
                </c:pt>
                <c:pt idx="23">
                  <c:v>8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0-492A-8ECC-78060FD5A6BC}"/>
            </c:ext>
          </c:extLst>
        </c:ser>
        <c:ser>
          <c:idx val="1"/>
          <c:order val="1"/>
          <c:tx>
            <c:strRef>
              <c:f>'Pivot Table'!$D$3:$D$4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'Pivot Table'!$A$5:$B$40</c:f>
              <c:multiLvlStrCache>
                <c:ptCount val="32"/>
                <c:lvl>
                  <c:pt idx="0">
                    <c:v>Mountain-200 Black, 38</c:v>
                  </c:pt>
                  <c:pt idx="1">
                    <c:v>Mountain-200 Silver, 38</c:v>
                  </c:pt>
                  <c:pt idx="2">
                    <c:v>Mountain-200 Silver, 46</c:v>
                  </c:pt>
                  <c:pt idx="3">
                    <c:v>Mountain-400-W Silver, 46</c:v>
                  </c:pt>
                  <c:pt idx="4">
                    <c:v>Mountain-500 Black, 40</c:v>
                  </c:pt>
                  <c:pt idx="5">
                    <c:v>Mountain-500 Black, 44</c:v>
                  </c:pt>
                  <c:pt idx="6">
                    <c:v>Mountain-500 Silver, 42</c:v>
                  </c:pt>
                  <c:pt idx="7">
                    <c:v>Mountain-100 Black, 38</c:v>
                  </c:pt>
                  <c:pt idx="8">
                    <c:v>Mountain-100 Silver, 44</c:v>
                  </c:pt>
                  <c:pt idx="9">
                    <c:v>Mountain-200 Black, 38</c:v>
                  </c:pt>
                  <c:pt idx="10">
                    <c:v>Mountain-200 Black, 42</c:v>
                  </c:pt>
                  <c:pt idx="11">
                    <c:v>Mountain-200 Black, 46</c:v>
                  </c:pt>
                  <c:pt idx="12">
                    <c:v>Mountain-200 Silver, 38</c:v>
                  </c:pt>
                  <c:pt idx="13">
                    <c:v>Mountain-200 Silver, 42</c:v>
                  </c:pt>
                  <c:pt idx="14">
                    <c:v>Mountain-200 Silver, 46</c:v>
                  </c:pt>
                  <c:pt idx="15">
                    <c:v>Mountain-400-W Silver, 38</c:v>
                  </c:pt>
                  <c:pt idx="16">
                    <c:v>Mountain-400-W Silver, 42</c:v>
                  </c:pt>
                  <c:pt idx="17">
                    <c:v>Mountain-400-W Silver, 46</c:v>
                  </c:pt>
                  <c:pt idx="18">
                    <c:v>Mountain-500 Black, 40</c:v>
                  </c:pt>
                  <c:pt idx="19">
                    <c:v>Mountain-500 Black, 52</c:v>
                  </c:pt>
                  <c:pt idx="20">
                    <c:v>Mountain-100 Black, 48</c:v>
                  </c:pt>
                  <c:pt idx="21">
                    <c:v>Mountain-200 Black, 38</c:v>
                  </c:pt>
                  <c:pt idx="22">
                    <c:v>Mountain-200 Black, 42</c:v>
                  </c:pt>
                  <c:pt idx="23">
                    <c:v>Mountain-200 Black, 46</c:v>
                  </c:pt>
                  <c:pt idx="24">
                    <c:v>Mountain-200 Silver, 38</c:v>
                  </c:pt>
                  <c:pt idx="25">
                    <c:v>Mountain-200 Silver, 42</c:v>
                  </c:pt>
                  <c:pt idx="26">
                    <c:v>Mountain-200 Silver, 46</c:v>
                  </c:pt>
                  <c:pt idx="27">
                    <c:v>Mountain-400-W Silver, 38</c:v>
                  </c:pt>
                  <c:pt idx="28">
                    <c:v>Mountain-400-W Silver, 46</c:v>
                  </c:pt>
                  <c:pt idx="29">
                    <c:v>Mountain-500 Black, 42</c:v>
                  </c:pt>
                  <c:pt idx="30">
                    <c:v>Mountain-500 Silver, 40</c:v>
                  </c:pt>
                  <c:pt idx="31">
                    <c:v>Mountain-500 Silver, 42</c:v>
                  </c:pt>
                </c:lvl>
                <c:lvl>
                  <c:pt idx="0">
                    <c:v>Youth (&lt;25)</c:v>
                  </c:pt>
                  <c:pt idx="7">
                    <c:v>Young Adults (25-34)</c:v>
                  </c:pt>
                  <c:pt idx="20">
                    <c:v>Adults (35-64)</c:v>
                  </c:pt>
                </c:lvl>
              </c:multiLvlStrCache>
            </c:multiLvlStrRef>
          </c:cat>
          <c:val>
            <c:numRef>
              <c:f>'Pivot Table'!$D$5:$D$40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EB-47ED-80B9-FBDACF1E86CD}"/>
            </c:ext>
          </c:extLst>
        </c:ser>
        <c:ser>
          <c:idx val="2"/>
          <c:order val="2"/>
          <c:tx>
            <c:strRef>
              <c:f>'Pivot Table'!$E$3:$E$4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'Pivot Table'!$A$5:$B$40</c:f>
              <c:multiLvlStrCache>
                <c:ptCount val="32"/>
                <c:lvl>
                  <c:pt idx="0">
                    <c:v>Mountain-200 Black, 38</c:v>
                  </c:pt>
                  <c:pt idx="1">
                    <c:v>Mountain-200 Silver, 38</c:v>
                  </c:pt>
                  <c:pt idx="2">
                    <c:v>Mountain-200 Silver, 46</c:v>
                  </c:pt>
                  <c:pt idx="3">
                    <c:v>Mountain-400-W Silver, 46</c:v>
                  </c:pt>
                  <c:pt idx="4">
                    <c:v>Mountain-500 Black, 40</c:v>
                  </c:pt>
                  <c:pt idx="5">
                    <c:v>Mountain-500 Black, 44</c:v>
                  </c:pt>
                  <c:pt idx="6">
                    <c:v>Mountain-500 Silver, 42</c:v>
                  </c:pt>
                  <c:pt idx="7">
                    <c:v>Mountain-100 Black, 38</c:v>
                  </c:pt>
                  <c:pt idx="8">
                    <c:v>Mountain-100 Silver, 44</c:v>
                  </c:pt>
                  <c:pt idx="9">
                    <c:v>Mountain-200 Black, 38</c:v>
                  </c:pt>
                  <c:pt idx="10">
                    <c:v>Mountain-200 Black, 42</c:v>
                  </c:pt>
                  <c:pt idx="11">
                    <c:v>Mountain-200 Black, 46</c:v>
                  </c:pt>
                  <c:pt idx="12">
                    <c:v>Mountain-200 Silver, 38</c:v>
                  </c:pt>
                  <c:pt idx="13">
                    <c:v>Mountain-200 Silver, 42</c:v>
                  </c:pt>
                  <c:pt idx="14">
                    <c:v>Mountain-200 Silver, 46</c:v>
                  </c:pt>
                  <c:pt idx="15">
                    <c:v>Mountain-400-W Silver, 38</c:v>
                  </c:pt>
                  <c:pt idx="16">
                    <c:v>Mountain-400-W Silver, 42</c:v>
                  </c:pt>
                  <c:pt idx="17">
                    <c:v>Mountain-400-W Silver, 46</c:v>
                  </c:pt>
                  <c:pt idx="18">
                    <c:v>Mountain-500 Black, 40</c:v>
                  </c:pt>
                  <c:pt idx="19">
                    <c:v>Mountain-500 Black, 52</c:v>
                  </c:pt>
                  <c:pt idx="20">
                    <c:v>Mountain-100 Black, 48</c:v>
                  </c:pt>
                  <c:pt idx="21">
                    <c:v>Mountain-200 Black, 38</c:v>
                  </c:pt>
                  <c:pt idx="22">
                    <c:v>Mountain-200 Black, 42</c:v>
                  </c:pt>
                  <c:pt idx="23">
                    <c:v>Mountain-200 Black, 46</c:v>
                  </c:pt>
                  <c:pt idx="24">
                    <c:v>Mountain-200 Silver, 38</c:v>
                  </c:pt>
                  <c:pt idx="25">
                    <c:v>Mountain-200 Silver, 42</c:v>
                  </c:pt>
                  <c:pt idx="26">
                    <c:v>Mountain-200 Silver, 46</c:v>
                  </c:pt>
                  <c:pt idx="27">
                    <c:v>Mountain-400-W Silver, 38</c:v>
                  </c:pt>
                  <c:pt idx="28">
                    <c:v>Mountain-400-W Silver, 46</c:v>
                  </c:pt>
                  <c:pt idx="29">
                    <c:v>Mountain-500 Black, 42</c:v>
                  </c:pt>
                  <c:pt idx="30">
                    <c:v>Mountain-500 Silver, 40</c:v>
                  </c:pt>
                  <c:pt idx="31">
                    <c:v>Mountain-500 Silver, 42</c:v>
                  </c:pt>
                </c:lvl>
                <c:lvl>
                  <c:pt idx="0">
                    <c:v>Youth (&lt;25)</c:v>
                  </c:pt>
                  <c:pt idx="7">
                    <c:v>Young Adults (25-34)</c:v>
                  </c:pt>
                  <c:pt idx="20">
                    <c:v>Adults (35-64)</c:v>
                  </c:pt>
                </c:lvl>
              </c:multiLvlStrCache>
            </c:multiLvlStrRef>
          </c:cat>
          <c:val>
            <c:numRef>
              <c:f>'Pivot Table'!$E$5:$E$40</c:f>
              <c:numCache>
                <c:formatCode>General</c:formatCode>
                <c:ptCount val="3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EB-47ED-80B9-FBDACF1E86CD}"/>
            </c:ext>
          </c:extLst>
        </c:ser>
        <c:ser>
          <c:idx val="3"/>
          <c:order val="3"/>
          <c:tx>
            <c:strRef>
              <c:f>'Pivot Table'!$F$3:$F$4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'Pivot Table'!$A$5:$B$40</c:f>
              <c:multiLvlStrCache>
                <c:ptCount val="32"/>
                <c:lvl>
                  <c:pt idx="0">
                    <c:v>Mountain-200 Black, 38</c:v>
                  </c:pt>
                  <c:pt idx="1">
                    <c:v>Mountain-200 Silver, 38</c:v>
                  </c:pt>
                  <c:pt idx="2">
                    <c:v>Mountain-200 Silver, 46</c:v>
                  </c:pt>
                  <c:pt idx="3">
                    <c:v>Mountain-400-W Silver, 46</c:v>
                  </c:pt>
                  <c:pt idx="4">
                    <c:v>Mountain-500 Black, 40</c:v>
                  </c:pt>
                  <c:pt idx="5">
                    <c:v>Mountain-500 Black, 44</c:v>
                  </c:pt>
                  <c:pt idx="6">
                    <c:v>Mountain-500 Silver, 42</c:v>
                  </c:pt>
                  <c:pt idx="7">
                    <c:v>Mountain-100 Black, 38</c:v>
                  </c:pt>
                  <c:pt idx="8">
                    <c:v>Mountain-100 Silver, 44</c:v>
                  </c:pt>
                  <c:pt idx="9">
                    <c:v>Mountain-200 Black, 38</c:v>
                  </c:pt>
                  <c:pt idx="10">
                    <c:v>Mountain-200 Black, 42</c:v>
                  </c:pt>
                  <c:pt idx="11">
                    <c:v>Mountain-200 Black, 46</c:v>
                  </c:pt>
                  <c:pt idx="12">
                    <c:v>Mountain-200 Silver, 38</c:v>
                  </c:pt>
                  <c:pt idx="13">
                    <c:v>Mountain-200 Silver, 42</c:v>
                  </c:pt>
                  <c:pt idx="14">
                    <c:v>Mountain-200 Silver, 46</c:v>
                  </c:pt>
                  <c:pt idx="15">
                    <c:v>Mountain-400-W Silver, 38</c:v>
                  </c:pt>
                  <c:pt idx="16">
                    <c:v>Mountain-400-W Silver, 42</c:v>
                  </c:pt>
                  <c:pt idx="17">
                    <c:v>Mountain-400-W Silver, 46</c:v>
                  </c:pt>
                  <c:pt idx="18">
                    <c:v>Mountain-500 Black, 40</c:v>
                  </c:pt>
                  <c:pt idx="19">
                    <c:v>Mountain-500 Black, 52</c:v>
                  </c:pt>
                  <c:pt idx="20">
                    <c:v>Mountain-100 Black, 48</c:v>
                  </c:pt>
                  <c:pt idx="21">
                    <c:v>Mountain-200 Black, 38</c:v>
                  </c:pt>
                  <c:pt idx="22">
                    <c:v>Mountain-200 Black, 42</c:v>
                  </c:pt>
                  <c:pt idx="23">
                    <c:v>Mountain-200 Black, 46</c:v>
                  </c:pt>
                  <c:pt idx="24">
                    <c:v>Mountain-200 Silver, 38</c:v>
                  </c:pt>
                  <c:pt idx="25">
                    <c:v>Mountain-200 Silver, 42</c:v>
                  </c:pt>
                  <c:pt idx="26">
                    <c:v>Mountain-200 Silver, 46</c:v>
                  </c:pt>
                  <c:pt idx="27">
                    <c:v>Mountain-400-W Silver, 38</c:v>
                  </c:pt>
                  <c:pt idx="28">
                    <c:v>Mountain-400-W Silver, 46</c:v>
                  </c:pt>
                  <c:pt idx="29">
                    <c:v>Mountain-500 Black, 42</c:v>
                  </c:pt>
                  <c:pt idx="30">
                    <c:v>Mountain-500 Silver, 40</c:v>
                  </c:pt>
                  <c:pt idx="31">
                    <c:v>Mountain-500 Silver, 42</c:v>
                  </c:pt>
                </c:lvl>
                <c:lvl>
                  <c:pt idx="0">
                    <c:v>Youth (&lt;25)</c:v>
                  </c:pt>
                  <c:pt idx="7">
                    <c:v>Young Adults (25-34)</c:v>
                  </c:pt>
                  <c:pt idx="20">
                    <c:v>Adults (35-64)</c:v>
                  </c:pt>
                </c:lvl>
              </c:multiLvlStrCache>
            </c:multiLvlStrRef>
          </c:cat>
          <c:val>
            <c:numRef>
              <c:f>'Pivot Table'!$F$5:$F$40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EB-47ED-80B9-FBDACF1E86CD}"/>
            </c:ext>
          </c:extLst>
        </c:ser>
        <c:ser>
          <c:idx val="4"/>
          <c:order val="4"/>
          <c:tx>
            <c:strRef>
              <c:f>'Pivot Table'!$G$3:$G$4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'Pivot Table'!$A$5:$B$40</c:f>
              <c:multiLvlStrCache>
                <c:ptCount val="32"/>
                <c:lvl>
                  <c:pt idx="0">
                    <c:v>Mountain-200 Black, 38</c:v>
                  </c:pt>
                  <c:pt idx="1">
                    <c:v>Mountain-200 Silver, 38</c:v>
                  </c:pt>
                  <c:pt idx="2">
                    <c:v>Mountain-200 Silver, 46</c:v>
                  </c:pt>
                  <c:pt idx="3">
                    <c:v>Mountain-400-W Silver, 46</c:v>
                  </c:pt>
                  <c:pt idx="4">
                    <c:v>Mountain-500 Black, 40</c:v>
                  </c:pt>
                  <c:pt idx="5">
                    <c:v>Mountain-500 Black, 44</c:v>
                  </c:pt>
                  <c:pt idx="6">
                    <c:v>Mountain-500 Silver, 42</c:v>
                  </c:pt>
                  <c:pt idx="7">
                    <c:v>Mountain-100 Black, 38</c:v>
                  </c:pt>
                  <c:pt idx="8">
                    <c:v>Mountain-100 Silver, 44</c:v>
                  </c:pt>
                  <c:pt idx="9">
                    <c:v>Mountain-200 Black, 38</c:v>
                  </c:pt>
                  <c:pt idx="10">
                    <c:v>Mountain-200 Black, 42</c:v>
                  </c:pt>
                  <c:pt idx="11">
                    <c:v>Mountain-200 Black, 46</c:v>
                  </c:pt>
                  <c:pt idx="12">
                    <c:v>Mountain-200 Silver, 38</c:v>
                  </c:pt>
                  <c:pt idx="13">
                    <c:v>Mountain-200 Silver, 42</c:v>
                  </c:pt>
                  <c:pt idx="14">
                    <c:v>Mountain-200 Silver, 46</c:v>
                  </c:pt>
                  <c:pt idx="15">
                    <c:v>Mountain-400-W Silver, 38</c:v>
                  </c:pt>
                  <c:pt idx="16">
                    <c:v>Mountain-400-W Silver, 42</c:v>
                  </c:pt>
                  <c:pt idx="17">
                    <c:v>Mountain-400-W Silver, 46</c:v>
                  </c:pt>
                  <c:pt idx="18">
                    <c:v>Mountain-500 Black, 40</c:v>
                  </c:pt>
                  <c:pt idx="19">
                    <c:v>Mountain-500 Black, 52</c:v>
                  </c:pt>
                  <c:pt idx="20">
                    <c:v>Mountain-100 Black, 48</c:v>
                  </c:pt>
                  <c:pt idx="21">
                    <c:v>Mountain-200 Black, 38</c:v>
                  </c:pt>
                  <c:pt idx="22">
                    <c:v>Mountain-200 Black, 42</c:v>
                  </c:pt>
                  <c:pt idx="23">
                    <c:v>Mountain-200 Black, 46</c:v>
                  </c:pt>
                  <c:pt idx="24">
                    <c:v>Mountain-200 Silver, 38</c:v>
                  </c:pt>
                  <c:pt idx="25">
                    <c:v>Mountain-200 Silver, 42</c:v>
                  </c:pt>
                  <c:pt idx="26">
                    <c:v>Mountain-200 Silver, 46</c:v>
                  </c:pt>
                  <c:pt idx="27">
                    <c:v>Mountain-400-W Silver, 38</c:v>
                  </c:pt>
                  <c:pt idx="28">
                    <c:v>Mountain-400-W Silver, 46</c:v>
                  </c:pt>
                  <c:pt idx="29">
                    <c:v>Mountain-500 Black, 42</c:v>
                  </c:pt>
                  <c:pt idx="30">
                    <c:v>Mountain-500 Silver, 40</c:v>
                  </c:pt>
                  <c:pt idx="31">
                    <c:v>Mountain-500 Silver, 42</c:v>
                  </c:pt>
                </c:lvl>
                <c:lvl>
                  <c:pt idx="0">
                    <c:v>Youth (&lt;25)</c:v>
                  </c:pt>
                  <c:pt idx="7">
                    <c:v>Young Adults (25-34)</c:v>
                  </c:pt>
                  <c:pt idx="20">
                    <c:v>Adults (35-64)</c:v>
                  </c:pt>
                </c:lvl>
              </c:multiLvlStrCache>
            </c:multiLvlStrRef>
          </c:cat>
          <c:val>
            <c:numRef>
              <c:f>'Pivot Table'!$G$5:$G$40</c:f>
              <c:numCache>
                <c:formatCode>General</c:formatCode>
                <c:ptCount val="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EB-47ED-80B9-FBDACF1E86CD}"/>
            </c:ext>
          </c:extLst>
        </c:ser>
        <c:ser>
          <c:idx val="5"/>
          <c:order val="5"/>
          <c:tx>
            <c:strRef>
              <c:f>'Pivot Table'!$H$3:$H$4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'Pivot Table'!$A$5:$B$40</c:f>
              <c:multiLvlStrCache>
                <c:ptCount val="32"/>
                <c:lvl>
                  <c:pt idx="0">
                    <c:v>Mountain-200 Black, 38</c:v>
                  </c:pt>
                  <c:pt idx="1">
                    <c:v>Mountain-200 Silver, 38</c:v>
                  </c:pt>
                  <c:pt idx="2">
                    <c:v>Mountain-200 Silver, 46</c:v>
                  </c:pt>
                  <c:pt idx="3">
                    <c:v>Mountain-400-W Silver, 46</c:v>
                  </c:pt>
                  <c:pt idx="4">
                    <c:v>Mountain-500 Black, 40</c:v>
                  </c:pt>
                  <c:pt idx="5">
                    <c:v>Mountain-500 Black, 44</c:v>
                  </c:pt>
                  <c:pt idx="6">
                    <c:v>Mountain-500 Silver, 42</c:v>
                  </c:pt>
                  <c:pt idx="7">
                    <c:v>Mountain-100 Black, 38</c:v>
                  </c:pt>
                  <c:pt idx="8">
                    <c:v>Mountain-100 Silver, 44</c:v>
                  </c:pt>
                  <c:pt idx="9">
                    <c:v>Mountain-200 Black, 38</c:v>
                  </c:pt>
                  <c:pt idx="10">
                    <c:v>Mountain-200 Black, 42</c:v>
                  </c:pt>
                  <c:pt idx="11">
                    <c:v>Mountain-200 Black, 46</c:v>
                  </c:pt>
                  <c:pt idx="12">
                    <c:v>Mountain-200 Silver, 38</c:v>
                  </c:pt>
                  <c:pt idx="13">
                    <c:v>Mountain-200 Silver, 42</c:v>
                  </c:pt>
                  <c:pt idx="14">
                    <c:v>Mountain-200 Silver, 46</c:v>
                  </c:pt>
                  <c:pt idx="15">
                    <c:v>Mountain-400-W Silver, 38</c:v>
                  </c:pt>
                  <c:pt idx="16">
                    <c:v>Mountain-400-W Silver, 42</c:v>
                  </c:pt>
                  <c:pt idx="17">
                    <c:v>Mountain-400-W Silver, 46</c:v>
                  </c:pt>
                  <c:pt idx="18">
                    <c:v>Mountain-500 Black, 40</c:v>
                  </c:pt>
                  <c:pt idx="19">
                    <c:v>Mountain-500 Black, 52</c:v>
                  </c:pt>
                  <c:pt idx="20">
                    <c:v>Mountain-100 Black, 48</c:v>
                  </c:pt>
                  <c:pt idx="21">
                    <c:v>Mountain-200 Black, 38</c:v>
                  </c:pt>
                  <c:pt idx="22">
                    <c:v>Mountain-200 Black, 42</c:v>
                  </c:pt>
                  <c:pt idx="23">
                    <c:v>Mountain-200 Black, 46</c:v>
                  </c:pt>
                  <c:pt idx="24">
                    <c:v>Mountain-200 Silver, 38</c:v>
                  </c:pt>
                  <c:pt idx="25">
                    <c:v>Mountain-200 Silver, 42</c:v>
                  </c:pt>
                  <c:pt idx="26">
                    <c:v>Mountain-200 Silver, 46</c:v>
                  </c:pt>
                  <c:pt idx="27">
                    <c:v>Mountain-400-W Silver, 38</c:v>
                  </c:pt>
                  <c:pt idx="28">
                    <c:v>Mountain-400-W Silver, 46</c:v>
                  </c:pt>
                  <c:pt idx="29">
                    <c:v>Mountain-500 Black, 42</c:v>
                  </c:pt>
                  <c:pt idx="30">
                    <c:v>Mountain-500 Silver, 40</c:v>
                  </c:pt>
                  <c:pt idx="31">
                    <c:v>Mountain-500 Silver, 42</c:v>
                  </c:pt>
                </c:lvl>
                <c:lvl>
                  <c:pt idx="0">
                    <c:v>Youth (&lt;25)</c:v>
                  </c:pt>
                  <c:pt idx="7">
                    <c:v>Young Adults (25-34)</c:v>
                  </c:pt>
                  <c:pt idx="20">
                    <c:v>Adults (35-64)</c:v>
                  </c:pt>
                </c:lvl>
              </c:multiLvlStrCache>
            </c:multiLvlStrRef>
          </c:cat>
          <c:val>
            <c:numRef>
              <c:f>'Pivot Table'!$H$5:$H$40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5</c:v>
                </c:pt>
                <c:pt idx="13">
                  <c:v>2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4</c:v>
                </c:pt>
                <c:pt idx="22">
                  <c:v>6</c:v>
                </c:pt>
                <c:pt idx="23">
                  <c:v>16</c:v>
                </c:pt>
                <c:pt idx="24">
                  <c:v>5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7</c:v>
                </c:pt>
                <c:pt idx="29">
                  <c:v>4</c:v>
                </c:pt>
                <c:pt idx="30">
                  <c:v>1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EB-47ED-80B9-FBDACF1E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381063"/>
        <c:axId val="263681543"/>
      </c:barChart>
      <c:catAx>
        <c:axId val="54381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81543"/>
        <c:crosses val="autoZero"/>
        <c:auto val="1"/>
        <c:lblAlgn val="ctr"/>
        <c:lblOffset val="100"/>
        <c:noMultiLvlLbl val="0"/>
      </c:catAx>
      <c:valAx>
        <c:axId val="263681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1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4</xdr:row>
      <xdr:rowOff>19050</xdr:rowOff>
    </xdr:from>
    <xdr:to>
      <xdr:col>0</xdr:col>
      <xdr:colOff>161925</xdr:colOff>
      <xdr:row>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4F69F-93C4-CC25-D268-80B74E253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0.678912268515" createdVersion="8" refreshedVersion="8" minRefreshableVersion="3" recordCount="88" xr:uid="{4660488A-C85A-4AB4-8EA0-3E59CE9C9848}">
  <cacheSource type="worksheet">
    <worksheetSource ref="A1:S89" sheet="Bike Sales"/>
  </cacheSource>
  <cacheFields count="19">
    <cacheField name="Sales_Order #" numFmtId="49">
      <sharedItems count="88">
        <s v="000261698"/>
        <s v="000261702"/>
        <s v="000261705"/>
        <s v="000261709"/>
        <s v="000261713"/>
        <s v="000261717"/>
        <s v="000261720"/>
        <s v="000261724"/>
        <s v="000261726"/>
        <s v="000261730"/>
        <s v="000261732"/>
        <s v="000261733"/>
        <s v="000261735"/>
        <s v="000261741"/>
        <s v="000261743"/>
        <s v="000261744"/>
        <s v="000261747"/>
        <s v="000261749"/>
        <s v="000261757"/>
        <s v="000261762"/>
        <s v="000261763"/>
        <s v="000261766"/>
        <s v="000261767"/>
        <s v="000261769"/>
        <s v="000261770"/>
        <s v="000261775"/>
        <s v="000261782"/>
        <s v="000261708"/>
        <s v="000261714"/>
        <s v="000261727"/>
        <s v="000261768"/>
        <s v="000261777"/>
        <s v="000261780"/>
        <s v="000261725"/>
        <s v="000261745"/>
        <s v="000261751"/>
        <s v="000261754"/>
        <s v="000261756"/>
        <s v="000261758"/>
        <s v="000261771"/>
        <s v="000261776"/>
        <s v="000261704"/>
        <s v="000261718"/>
        <s v="000261748"/>
        <s v="000261750"/>
        <s v="000261764"/>
        <s v="000261778"/>
        <s v="000261695"/>
        <s v="000261700"/>
        <s v="000261707"/>
        <s v="000261710"/>
        <s v="000261721"/>
        <s v="000261737"/>
        <s v="000261738"/>
        <s v="000261752"/>
        <s v="000261772"/>
        <s v="000261699"/>
        <s v="000261696"/>
        <s v="000261697"/>
        <s v="000261703"/>
        <s v="000261706"/>
        <s v="000261711"/>
        <s v="000261712"/>
        <s v="000261715"/>
        <s v="000261716"/>
        <s v="000261719"/>
        <s v="000261722"/>
        <s v="000261723"/>
        <s v="000261728"/>
        <s v="000261729"/>
        <s v="000261731"/>
        <s v="000261734"/>
        <s v="000261736"/>
        <s v="000261739"/>
        <s v="000261740"/>
        <s v="000261742"/>
        <s v="000261746"/>
        <s v="000261753"/>
        <s v="000261755"/>
        <s v="000261759"/>
        <s v="000261760"/>
        <s v="000261761"/>
        <s v="000261765"/>
        <s v="000261773"/>
        <s v="000261774"/>
        <s v="000261779"/>
        <s v="000261781"/>
        <s v="000261701"/>
      </sharedItems>
    </cacheField>
    <cacheField name="Date" numFmtId="14">
      <sharedItems containsSemiMixedTypes="0" containsNonDate="0" containsDate="1" containsString="0" minDate="2021-12-01T00:00:00" maxDate="2021-12-25T00:00:00" count="24">
        <d v="2021-12-02T00:00:00"/>
        <d v="2021-12-04T00:00:00"/>
        <d v="2021-12-05T00:00:00"/>
        <d v="2021-12-06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6T00:00:00"/>
        <d v="2021-12-17T00:00:00"/>
        <d v="2021-12-18T00:00:00"/>
        <d v="2021-12-19T00:00:00"/>
        <d v="2021-12-20T00:00:00"/>
        <d v="2021-12-22T00:00:00"/>
        <d v="2021-12-24T00:00:00"/>
        <d v="2021-12-23T00:00:00"/>
        <d v="2021-12-21T00:00:00"/>
        <d v="2021-12-01T00:00:00"/>
        <d v="2021-12-03T00:00:00"/>
        <d v="2021-12-07T00:00:00"/>
        <d v="2021-12-15T00:00:00"/>
      </sharedItems>
    </cacheField>
    <cacheField name="Day" numFmtId="0">
      <sharedItems containsString="0" containsBlank="1" containsNumber="1" containsInteger="1" minValue="1" maxValue="24" count="25">
        <n v="2"/>
        <n v="4"/>
        <n v="5"/>
        <n v="6"/>
        <n v="8"/>
        <n v="9"/>
        <n v="10"/>
        <n v="11"/>
        <n v="12"/>
        <n v="13"/>
        <n v="14"/>
        <n v="16"/>
        <n v="17"/>
        <n v="18"/>
        <n v="19"/>
        <n v="20"/>
        <n v="22"/>
        <n v="24"/>
        <n v="23"/>
        <n v="21"/>
        <m/>
        <n v="1"/>
        <n v="3"/>
        <n v="7"/>
        <n v="15"/>
      </sharedItems>
    </cacheField>
    <cacheField name="Month" numFmtId="0">
      <sharedItems count="1">
        <s v="December"/>
      </sharedItems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Young Adults (25-34)"/>
        <s v="Adults (35-6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Australia"/>
        <s v="Canada"/>
        <s v="France"/>
        <s v="Germany"/>
        <s v="United Kingdom"/>
        <s v="United States"/>
        <s v="United States " u="1"/>
        <s v="United  States" u="1"/>
      </sharedItems>
    </cacheField>
    <cacheField name="State" numFmtId="0">
      <sharedItems count="17">
        <s v="New South Wales"/>
        <s v="Queensland"/>
        <s v="Victoria"/>
        <s v="South Australia"/>
        <s v="British Columbia"/>
        <s v="Seine (Paris)"/>
        <s v="Seine et Marne"/>
        <s v="Seine Saint Denis"/>
        <s v="Nord"/>
        <s v="Somme"/>
        <s v="Nordrhein-Westfalen"/>
        <s v="Hamburg"/>
        <s v="Hessen"/>
        <s v="England"/>
        <s v="California"/>
        <s v="Oregon"/>
        <s v="Washington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 count="18">
        <s v="Mountain-400-W Silver, 42"/>
        <s v="Mountain-200 Silver, 38"/>
        <s v="Mountain-200 Black, 42"/>
        <s v="Mountain-500 Silver, 42"/>
        <s v="Mountain-100 Black, 38"/>
        <s v="Mountain-200 Black, 38"/>
        <s v="Mountain-400-W Silver, 38"/>
        <s v="Mountain-200 Silver, 42"/>
        <s v="Mountain-400-W Silver, 46"/>
        <s v="Mountain-500 Black, 44"/>
        <s v="Mountain-200 Black, 46"/>
        <s v="Mountain-500 Black, 40"/>
        <s v="Mountain-500 Black, 52"/>
        <s v="Mountain-200 Silver, 46"/>
        <s v="Mountain-500 Black, 42"/>
        <s v="Mountain-100 Silver, 44"/>
        <s v="Mountain-500 Silver, 40"/>
        <s v="Mountain-100 Black, 48"/>
      </sharedItems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 count="21">
        <n v="349"/>
        <n v="1396"/>
        <n v="1054"/>
        <n v="1043"/>
        <n v="1028"/>
        <n v="2954"/>
        <n v="2086"/>
        <n v="698"/>
        <n v="4216"/>
        <n v="3162"/>
        <n v="980"/>
        <n v="4172"/>
        <n v="490"/>
        <n v="5908"/>
        <n v="257"/>
        <n v="735"/>
        <n v="3129"/>
        <n v="1047"/>
        <n v="2108"/>
        <n v="245"/>
        <n v="1488"/>
      </sharedItems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120650344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498414004629" createdVersion="8" refreshedVersion="8" minRefreshableVersion="3" recordCount="88" xr:uid="{84C84A36-7308-43B3-86D4-6A1E17F8B5D1}">
  <cacheSource type="worksheet">
    <worksheetSource name="Table1"/>
  </cacheSource>
  <cacheFields count="19">
    <cacheField name="Sales_Order #" numFmtId="49">
      <sharedItems count="88">
        <s v="000261698"/>
        <s v="000261702"/>
        <s v="000261705"/>
        <s v="000261709"/>
        <s v="000261713"/>
        <s v="000261717"/>
        <s v="000261720"/>
        <s v="000261724"/>
        <s v="000261726"/>
        <s v="000261730"/>
        <s v="000261732"/>
        <s v="000261733"/>
        <s v="000261735"/>
        <s v="000261741"/>
        <s v="000261743"/>
        <s v="000261744"/>
        <s v="000261747"/>
        <s v="000261749"/>
        <s v="000261757"/>
        <s v="000261762"/>
        <s v="000261763"/>
        <s v="000261766"/>
        <s v="000261767"/>
        <s v="000261769"/>
        <s v="000261770"/>
        <s v="000261775"/>
        <s v="000261782"/>
        <s v="000261708"/>
        <s v="000261714"/>
        <s v="000261727"/>
        <s v="000261768"/>
        <s v="000261777"/>
        <s v="000261780"/>
        <s v="000261725"/>
        <s v="000261745"/>
        <s v="000261751"/>
        <s v="000261754"/>
        <s v="000261756"/>
        <s v="000261758"/>
        <s v="000261771"/>
        <s v="000261776"/>
        <s v="000261704"/>
        <s v="000261718"/>
        <s v="000261748"/>
        <s v="000261750"/>
        <s v="000261764"/>
        <s v="000261778"/>
        <s v="000261695"/>
        <s v="000261700"/>
        <s v="000261707"/>
        <s v="000261710"/>
        <s v="000261721"/>
        <s v="000261737"/>
        <s v="000261738"/>
        <s v="000261752"/>
        <s v="000261772"/>
        <s v="000261699"/>
        <s v="000261696"/>
        <s v="000261697"/>
        <s v="000261703"/>
        <s v="000261706"/>
        <s v="000261711"/>
        <s v="000261712"/>
        <s v="000261715"/>
        <s v="000261716"/>
        <s v="000261719"/>
        <s v="000261722"/>
        <s v="000261723"/>
        <s v="000261728"/>
        <s v="000261729"/>
        <s v="000261731"/>
        <s v="000261734"/>
        <s v="000261736"/>
        <s v="000261739"/>
        <s v="000261740"/>
        <s v="000261742"/>
        <s v="000261746"/>
        <s v="000261753"/>
        <s v="000261755"/>
        <s v="000261759"/>
        <s v="000261760"/>
        <s v="000261761"/>
        <s v="000261765"/>
        <s v="000261773"/>
        <s v="000261774"/>
        <s v="000261779"/>
        <s v="000261781"/>
        <s v="000261701"/>
      </sharedItems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Young Adults (25-34)"/>
        <s v="Adults (35-6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Australia"/>
        <s v="Canada"/>
        <s v="France"/>
        <s v="Germany"/>
        <s v="United Kingdom"/>
        <s v="United States"/>
      </sharedItems>
    </cacheField>
    <cacheField name="State" numFmtId="0">
      <sharedItems count="17">
        <s v="New South Wales"/>
        <s v="Queensland"/>
        <s v="Victoria"/>
        <s v="South Australia"/>
        <s v="British Columbia"/>
        <s v="Seine (Paris)"/>
        <s v="Seine et Marne"/>
        <s v="Seine Saint Denis"/>
        <s v="Nord"/>
        <s v="Somme"/>
        <s v="Nordrhein-Westfalen"/>
        <s v="Hamburg"/>
        <s v="Hessen"/>
        <s v="England"/>
        <s v="California"/>
        <s v="Oregon"/>
        <s v="Washington"/>
      </sharedItems>
    </cacheField>
    <cacheField name="Product_Category" numFmtId="0">
      <sharedItems count="1">
        <s v="Bikes"/>
      </sharedItems>
    </cacheField>
    <cacheField name="Sub_Category" numFmtId="0">
      <sharedItems count="1">
        <s v="Mountain Bikes"/>
      </sharedItems>
    </cacheField>
    <cacheField name="Product_Description" numFmtId="0">
      <sharedItems count="18">
        <s v="Mountain-400-W Silver, 42"/>
        <s v="Mountain-200 Silver, 38"/>
        <s v="Mountain-200 Black, 42"/>
        <s v="Mountain-500 Silver, 42"/>
        <s v="Mountain-100 Black, 38"/>
        <s v="Mountain-200 Black, 38"/>
        <s v="Mountain-400-W Silver, 38"/>
        <s v="Mountain-200 Silver, 42"/>
        <s v="Mountain-400-W Silver, 46"/>
        <s v="Mountain-500 Black, 44"/>
        <s v="Mountain-200 Black, 46"/>
        <s v="Mountain-500 Black, 40"/>
        <s v="Mountain-500 Black, 52"/>
        <s v="Mountain-200 Silver, 46"/>
        <s v="Mountain-500 Black, 42"/>
        <s v="Mountain-100 Silver, 44"/>
        <s v="Mountain-500 Silver, 40"/>
        <s v="Mountain-100 Black, 48"/>
      </sharedItems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 count="21">
        <n v="769"/>
        <n v="3076"/>
        <n v="2320"/>
        <n v="2295"/>
        <n v="2260"/>
        <n v="6750"/>
        <n v="4590"/>
        <n v="1538"/>
        <n v="9280"/>
        <n v="6960"/>
        <n v="2160"/>
        <n v="9180"/>
        <n v="1080"/>
        <n v="13500"/>
        <n v="565"/>
        <n v="1620"/>
        <n v="6885"/>
        <n v="2307"/>
        <n v="4640"/>
        <n v="540"/>
        <n v="34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x v="0"/>
    <x v="0"/>
    <n v="31"/>
    <x v="0"/>
    <x v="0"/>
    <x v="0"/>
    <x v="0"/>
    <x v="0"/>
    <x v="0"/>
    <x v="0"/>
    <n v="1"/>
    <n v="420"/>
    <n v="769"/>
    <x v="0"/>
    <n v="420"/>
    <n v="769"/>
  </r>
  <r>
    <x v="1"/>
    <x v="1"/>
    <x v="1"/>
    <x v="0"/>
    <x v="0"/>
    <n v="31"/>
    <x v="0"/>
    <x v="0"/>
    <x v="0"/>
    <x v="0"/>
    <x v="0"/>
    <x v="0"/>
    <x v="0"/>
    <n v="4"/>
    <n v="420"/>
    <n v="769"/>
    <x v="1"/>
    <n v="1680"/>
    <n v="3076"/>
  </r>
  <r>
    <x v="2"/>
    <x v="2"/>
    <x v="2"/>
    <x v="0"/>
    <x v="0"/>
    <n v="35"/>
    <x v="1"/>
    <x v="0"/>
    <x v="0"/>
    <x v="1"/>
    <x v="0"/>
    <x v="0"/>
    <x v="1"/>
    <n v="1"/>
    <n v="1266"/>
    <n v="2320"/>
    <x v="2"/>
    <n v="1266"/>
    <n v="2320"/>
  </r>
  <r>
    <x v="3"/>
    <x v="3"/>
    <x v="3"/>
    <x v="0"/>
    <x v="0"/>
    <n v="36"/>
    <x v="1"/>
    <x v="1"/>
    <x v="0"/>
    <x v="0"/>
    <x v="0"/>
    <x v="0"/>
    <x v="2"/>
    <n v="1"/>
    <n v="1252"/>
    <n v="2295"/>
    <x v="3"/>
    <n v="1252"/>
    <n v="2295"/>
  </r>
  <r>
    <x v="4"/>
    <x v="4"/>
    <x v="4"/>
    <x v="0"/>
    <x v="0"/>
    <n v="19"/>
    <x v="2"/>
    <x v="0"/>
    <x v="0"/>
    <x v="0"/>
    <x v="0"/>
    <x v="0"/>
    <x v="3"/>
    <n v="4"/>
    <n v="308"/>
    <n v="565"/>
    <x v="4"/>
    <n v="1232"/>
    <n v="2260"/>
  </r>
  <r>
    <x v="5"/>
    <x v="5"/>
    <x v="5"/>
    <x v="0"/>
    <x v="0"/>
    <n v="33"/>
    <x v="0"/>
    <x v="0"/>
    <x v="0"/>
    <x v="2"/>
    <x v="0"/>
    <x v="0"/>
    <x v="4"/>
    <n v="2"/>
    <n v="1898"/>
    <n v="3375"/>
    <x v="5"/>
    <n v="3796"/>
    <n v="6750"/>
  </r>
  <r>
    <x v="6"/>
    <x v="6"/>
    <x v="6"/>
    <x v="0"/>
    <x v="0"/>
    <n v="40"/>
    <x v="1"/>
    <x v="1"/>
    <x v="0"/>
    <x v="0"/>
    <x v="0"/>
    <x v="0"/>
    <x v="2"/>
    <n v="2"/>
    <n v="1252"/>
    <n v="2295"/>
    <x v="6"/>
    <n v="2504"/>
    <n v="4590"/>
  </r>
  <r>
    <x v="7"/>
    <x v="6"/>
    <x v="6"/>
    <x v="0"/>
    <x v="0"/>
    <n v="38"/>
    <x v="1"/>
    <x v="1"/>
    <x v="0"/>
    <x v="0"/>
    <x v="0"/>
    <x v="0"/>
    <x v="5"/>
    <n v="1"/>
    <n v="1252"/>
    <n v="2295"/>
    <x v="3"/>
    <n v="1252"/>
    <n v="2295"/>
  </r>
  <r>
    <x v="8"/>
    <x v="7"/>
    <x v="7"/>
    <x v="0"/>
    <x v="0"/>
    <n v="41"/>
    <x v="1"/>
    <x v="0"/>
    <x v="0"/>
    <x v="0"/>
    <x v="0"/>
    <x v="0"/>
    <x v="6"/>
    <n v="2"/>
    <n v="420"/>
    <n v="769"/>
    <x v="7"/>
    <n v="840"/>
    <n v="1538"/>
  </r>
  <r>
    <x v="9"/>
    <x v="8"/>
    <x v="8"/>
    <x v="0"/>
    <x v="0"/>
    <n v="36"/>
    <x v="1"/>
    <x v="0"/>
    <x v="0"/>
    <x v="0"/>
    <x v="0"/>
    <x v="0"/>
    <x v="7"/>
    <n v="4"/>
    <n v="1266"/>
    <n v="2320"/>
    <x v="8"/>
    <n v="5064"/>
    <n v="9280"/>
  </r>
  <r>
    <x v="10"/>
    <x v="8"/>
    <x v="8"/>
    <x v="0"/>
    <x v="0"/>
    <n v="34"/>
    <x v="0"/>
    <x v="1"/>
    <x v="0"/>
    <x v="0"/>
    <x v="0"/>
    <x v="0"/>
    <x v="5"/>
    <n v="2"/>
    <n v="1252"/>
    <n v="2295"/>
    <x v="6"/>
    <n v="2504"/>
    <n v="4590"/>
  </r>
  <r>
    <x v="11"/>
    <x v="8"/>
    <x v="8"/>
    <x v="0"/>
    <x v="0"/>
    <n v="35"/>
    <x v="1"/>
    <x v="0"/>
    <x v="0"/>
    <x v="2"/>
    <x v="0"/>
    <x v="0"/>
    <x v="7"/>
    <n v="1"/>
    <n v="1266"/>
    <n v="2320"/>
    <x v="2"/>
    <n v="1266"/>
    <n v="2320"/>
  </r>
  <r>
    <x v="12"/>
    <x v="9"/>
    <x v="9"/>
    <x v="0"/>
    <x v="0"/>
    <n v="32"/>
    <x v="0"/>
    <x v="0"/>
    <x v="0"/>
    <x v="1"/>
    <x v="0"/>
    <x v="0"/>
    <x v="7"/>
    <n v="3"/>
    <n v="1266"/>
    <n v="2320"/>
    <x v="9"/>
    <n v="3798"/>
    <n v="6960"/>
  </r>
  <r>
    <x v="13"/>
    <x v="10"/>
    <x v="10"/>
    <x v="0"/>
    <x v="0"/>
    <n v="32"/>
    <x v="0"/>
    <x v="0"/>
    <x v="0"/>
    <x v="2"/>
    <x v="0"/>
    <x v="0"/>
    <x v="8"/>
    <n v="1"/>
    <n v="420"/>
    <n v="769"/>
    <x v="0"/>
    <n v="420"/>
    <n v="769"/>
  </r>
  <r>
    <x v="14"/>
    <x v="11"/>
    <x v="11"/>
    <x v="0"/>
    <x v="0"/>
    <n v="33"/>
    <x v="0"/>
    <x v="0"/>
    <x v="0"/>
    <x v="0"/>
    <x v="0"/>
    <x v="0"/>
    <x v="5"/>
    <n v="2"/>
    <n v="1252"/>
    <n v="2295"/>
    <x v="6"/>
    <n v="2504"/>
    <n v="4590"/>
  </r>
  <r>
    <x v="15"/>
    <x v="11"/>
    <x v="11"/>
    <x v="0"/>
    <x v="0"/>
    <n v="38"/>
    <x v="1"/>
    <x v="1"/>
    <x v="0"/>
    <x v="0"/>
    <x v="0"/>
    <x v="0"/>
    <x v="5"/>
    <n v="2"/>
    <n v="1252"/>
    <n v="2295"/>
    <x v="6"/>
    <n v="2504"/>
    <n v="4590"/>
  </r>
  <r>
    <x v="16"/>
    <x v="12"/>
    <x v="12"/>
    <x v="0"/>
    <x v="0"/>
    <n v="31"/>
    <x v="0"/>
    <x v="1"/>
    <x v="0"/>
    <x v="0"/>
    <x v="0"/>
    <x v="0"/>
    <x v="0"/>
    <n v="1"/>
    <n v="420"/>
    <n v="769"/>
    <x v="0"/>
    <n v="420"/>
    <n v="769"/>
  </r>
  <r>
    <x v="17"/>
    <x v="13"/>
    <x v="13"/>
    <x v="0"/>
    <x v="0"/>
    <n v="35"/>
    <x v="1"/>
    <x v="0"/>
    <x v="0"/>
    <x v="0"/>
    <x v="0"/>
    <x v="0"/>
    <x v="3"/>
    <n v="4"/>
    <n v="308"/>
    <n v="565"/>
    <x v="4"/>
    <n v="1232"/>
    <n v="2260"/>
  </r>
  <r>
    <x v="18"/>
    <x v="14"/>
    <x v="14"/>
    <x v="0"/>
    <x v="0"/>
    <n v="19"/>
    <x v="2"/>
    <x v="0"/>
    <x v="0"/>
    <x v="2"/>
    <x v="0"/>
    <x v="0"/>
    <x v="9"/>
    <n v="4"/>
    <n v="295"/>
    <n v="540"/>
    <x v="10"/>
    <n v="1180"/>
    <n v="2160"/>
  </r>
  <r>
    <x v="19"/>
    <x v="14"/>
    <x v="14"/>
    <x v="0"/>
    <x v="0"/>
    <n v="63"/>
    <x v="1"/>
    <x v="0"/>
    <x v="0"/>
    <x v="1"/>
    <x v="0"/>
    <x v="0"/>
    <x v="10"/>
    <n v="4"/>
    <n v="1252"/>
    <n v="2295"/>
    <x v="11"/>
    <n v="5008"/>
    <n v="9180"/>
  </r>
  <r>
    <x v="20"/>
    <x v="14"/>
    <x v="14"/>
    <x v="0"/>
    <x v="0"/>
    <n v="18"/>
    <x v="2"/>
    <x v="1"/>
    <x v="0"/>
    <x v="3"/>
    <x v="0"/>
    <x v="0"/>
    <x v="11"/>
    <n v="2"/>
    <n v="295"/>
    <n v="540"/>
    <x v="12"/>
    <n v="590"/>
    <n v="1080"/>
  </r>
  <r>
    <x v="21"/>
    <x v="15"/>
    <x v="15"/>
    <x v="0"/>
    <x v="0"/>
    <n v="33"/>
    <x v="0"/>
    <x v="0"/>
    <x v="0"/>
    <x v="2"/>
    <x v="0"/>
    <x v="0"/>
    <x v="4"/>
    <n v="4"/>
    <n v="1898"/>
    <n v="3375"/>
    <x v="13"/>
    <n v="7592"/>
    <n v="13500"/>
  </r>
  <r>
    <x v="22"/>
    <x v="15"/>
    <x v="15"/>
    <x v="0"/>
    <x v="0"/>
    <n v="57"/>
    <x v="1"/>
    <x v="1"/>
    <x v="0"/>
    <x v="1"/>
    <x v="0"/>
    <x v="0"/>
    <x v="10"/>
    <n v="4"/>
    <n v="1252"/>
    <n v="2295"/>
    <x v="11"/>
    <n v="5008"/>
    <n v="9180"/>
  </r>
  <r>
    <x v="23"/>
    <x v="15"/>
    <x v="15"/>
    <x v="0"/>
    <x v="0"/>
    <n v="35"/>
    <x v="1"/>
    <x v="0"/>
    <x v="0"/>
    <x v="1"/>
    <x v="0"/>
    <x v="0"/>
    <x v="1"/>
    <n v="1"/>
    <n v="1266"/>
    <n v="2320"/>
    <x v="2"/>
    <n v="1266"/>
    <n v="2320"/>
  </r>
  <r>
    <x v="24"/>
    <x v="15"/>
    <x v="15"/>
    <x v="0"/>
    <x v="0"/>
    <n v="35"/>
    <x v="1"/>
    <x v="1"/>
    <x v="0"/>
    <x v="2"/>
    <x v="0"/>
    <x v="0"/>
    <x v="1"/>
    <n v="1"/>
    <n v="1266"/>
    <n v="2320"/>
    <x v="2"/>
    <n v="1266"/>
    <n v="2320"/>
  </r>
  <r>
    <x v="25"/>
    <x v="16"/>
    <x v="16"/>
    <x v="0"/>
    <x v="0"/>
    <n v="19"/>
    <x v="2"/>
    <x v="0"/>
    <x v="0"/>
    <x v="0"/>
    <x v="0"/>
    <x v="0"/>
    <x v="3"/>
    <n v="1"/>
    <n v="308"/>
    <n v="565"/>
    <x v="14"/>
    <n v="308"/>
    <n v="565"/>
  </r>
  <r>
    <x v="26"/>
    <x v="17"/>
    <x v="17"/>
    <x v="0"/>
    <x v="0"/>
    <n v="38"/>
    <x v="1"/>
    <x v="1"/>
    <x v="0"/>
    <x v="1"/>
    <x v="0"/>
    <x v="0"/>
    <x v="2"/>
    <n v="4"/>
    <n v="1252"/>
    <n v="2295"/>
    <x v="11"/>
    <n v="5008"/>
    <n v="9180"/>
  </r>
  <r>
    <x v="27"/>
    <x v="3"/>
    <x v="3"/>
    <x v="0"/>
    <x v="0"/>
    <n v="27"/>
    <x v="0"/>
    <x v="1"/>
    <x v="1"/>
    <x v="4"/>
    <x v="0"/>
    <x v="0"/>
    <x v="10"/>
    <n v="1"/>
    <n v="1252"/>
    <n v="2295"/>
    <x v="3"/>
    <n v="1252"/>
    <n v="2295"/>
  </r>
  <r>
    <x v="28"/>
    <x v="4"/>
    <x v="4"/>
    <x v="0"/>
    <x v="0"/>
    <n v="30"/>
    <x v="0"/>
    <x v="0"/>
    <x v="1"/>
    <x v="4"/>
    <x v="0"/>
    <x v="0"/>
    <x v="1"/>
    <n v="4"/>
    <n v="1266"/>
    <n v="2320"/>
    <x v="8"/>
    <n v="5064"/>
    <n v="9280"/>
  </r>
  <r>
    <x v="29"/>
    <x v="7"/>
    <x v="7"/>
    <x v="0"/>
    <x v="0"/>
    <n v="27"/>
    <x v="0"/>
    <x v="1"/>
    <x v="1"/>
    <x v="4"/>
    <x v="0"/>
    <x v="0"/>
    <x v="10"/>
    <n v="1"/>
    <n v="1252"/>
    <n v="2295"/>
    <x v="3"/>
    <n v="1252"/>
    <n v="2295"/>
  </r>
  <r>
    <x v="30"/>
    <x v="15"/>
    <x v="15"/>
    <x v="0"/>
    <x v="0"/>
    <n v="29"/>
    <x v="0"/>
    <x v="1"/>
    <x v="1"/>
    <x v="4"/>
    <x v="0"/>
    <x v="0"/>
    <x v="12"/>
    <n v="3"/>
    <n v="295"/>
    <n v="540"/>
    <x v="15"/>
    <n v="885"/>
    <n v="1620"/>
  </r>
  <r>
    <x v="31"/>
    <x v="16"/>
    <x v="16"/>
    <x v="0"/>
    <x v="0"/>
    <n v="27"/>
    <x v="0"/>
    <x v="0"/>
    <x v="1"/>
    <x v="4"/>
    <x v="0"/>
    <x v="0"/>
    <x v="10"/>
    <n v="1"/>
    <n v="1252"/>
    <n v="2295"/>
    <x v="3"/>
    <n v="1252"/>
    <n v="2295"/>
  </r>
  <r>
    <x v="32"/>
    <x v="18"/>
    <x v="18"/>
    <x v="0"/>
    <x v="0"/>
    <n v="31"/>
    <x v="0"/>
    <x v="0"/>
    <x v="1"/>
    <x v="4"/>
    <x v="0"/>
    <x v="0"/>
    <x v="2"/>
    <n v="1"/>
    <n v="1252"/>
    <n v="2295"/>
    <x v="3"/>
    <n v="1252"/>
    <n v="2295"/>
  </r>
  <r>
    <x v="33"/>
    <x v="7"/>
    <x v="7"/>
    <x v="0"/>
    <x v="0"/>
    <n v="24"/>
    <x v="2"/>
    <x v="0"/>
    <x v="2"/>
    <x v="5"/>
    <x v="0"/>
    <x v="0"/>
    <x v="5"/>
    <n v="3"/>
    <n v="1252"/>
    <n v="2295"/>
    <x v="16"/>
    <n v="3756"/>
    <n v="6885"/>
  </r>
  <r>
    <x v="34"/>
    <x v="11"/>
    <x v="11"/>
    <x v="0"/>
    <x v="0"/>
    <n v="27"/>
    <x v="0"/>
    <x v="0"/>
    <x v="2"/>
    <x v="6"/>
    <x v="0"/>
    <x v="0"/>
    <x v="13"/>
    <n v="1"/>
    <n v="1266"/>
    <n v="2320"/>
    <x v="2"/>
    <n v="1266"/>
    <n v="2320"/>
  </r>
  <r>
    <x v="35"/>
    <x v="13"/>
    <x v="13"/>
    <x v="0"/>
    <x v="0"/>
    <n v="24"/>
    <x v="2"/>
    <x v="0"/>
    <x v="2"/>
    <x v="7"/>
    <x v="0"/>
    <x v="0"/>
    <x v="1"/>
    <n v="3"/>
    <n v="1266"/>
    <n v="2320"/>
    <x v="9"/>
    <n v="3798"/>
    <n v="6960"/>
  </r>
  <r>
    <x v="36"/>
    <x v="13"/>
    <x v="13"/>
    <x v="0"/>
    <x v="0"/>
    <n v="26"/>
    <x v="0"/>
    <x v="1"/>
    <x v="2"/>
    <x v="5"/>
    <x v="0"/>
    <x v="0"/>
    <x v="10"/>
    <n v="1"/>
    <n v="1252"/>
    <n v="2295"/>
    <x v="3"/>
    <n v="1252"/>
    <n v="2295"/>
  </r>
  <r>
    <x v="37"/>
    <x v="14"/>
    <x v="14"/>
    <x v="0"/>
    <x v="0"/>
    <n v="17"/>
    <x v="2"/>
    <x v="1"/>
    <x v="2"/>
    <x v="8"/>
    <x v="0"/>
    <x v="0"/>
    <x v="13"/>
    <n v="4"/>
    <n v="1266"/>
    <n v="2320"/>
    <x v="8"/>
    <n v="5064"/>
    <n v="9280"/>
  </r>
  <r>
    <x v="38"/>
    <x v="14"/>
    <x v="14"/>
    <x v="0"/>
    <x v="0"/>
    <n v="25"/>
    <x v="0"/>
    <x v="1"/>
    <x v="2"/>
    <x v="5"/>
    <x v="0"/>
    <x v="0"/>
    <x v="5"/>
    <n v="4"/>
    <n v="1252"/>
    <n v="2295"/>
    <x v="11"/>
    <n v="5008"/>
    <n v="9180"/>
  </r>
  <r>
    <x v="39"/>
    <x v="19"/>
    <x v="19"/>
    <x v="0"/>
    <x v="0"/>
    <n v="26"/>
    <x v="0"/>
    <x v="1"/>
    <x v="2"/>
    <x v="9"/>
    <x v="0"/>
    <x v="0"/>
    <x v="1"/>
    <n v="3"/>
    <n v="1266"/>
    <n v="2320"/>
    <x v="9"/>
    <n v="3798"/>
    <n v="6960"/>
  </r>
  <r>
    <x v="40"/>
    <x v="16"/>
    <x v="16"/>
    <x v="0"/>
    <x v="0"/>
    <n v="25"/>
    <x v="0"/>
    <x v="1"/>
    <x v="2"/>
    <x v="5"/>
    <x v="0"/>
    <x v="0"/>
    <x v="5"/>
    <n v="1"/>
    <n v="1252"/>
    <n v="2295"/>
    <x v="3"/>
    <n v="1252"/>
    <n v="2295"/>
  </r>
  <r>
    <x v="41"/>
    <x v="2"/>
    <x v="20"/>
    <x v="0"/>
    <x v="0"/>
    <n v="42"/>
    <x v="1"/>
    <x v="1"/>
    <x v="3"/>
    <x v="10"/>
    <x v="0"/>
    <x v="0"/>
    <x v="5"/>
    <n v="4"/>
    <n v="1252"/>
    <n v="2295"/>
    <x v="11"/>
    <n v="5008"/>
    <n v="9180"/>
  </r>
  <r>
    <x v="42"/>
    <x v="5"/>
    <x v="5"/>
    <x v="0"/>
    <x v="0"/>
    <n v="41"/>
    <x v="1"/>
    <x v="0"/>
    <x v="3"/>
    <x v="11"/>
    <x v="0"/>
    <x v="0"/>
    <x v="7"/>
    <n v="1"/>
    <n v="1266"/>
    <n v="2320"/>
    <x v="2"/>
    <n v="1266"/>
    <n v="2320"/>
  </r>
  <r>
    <x v="43"/>
    <x v="12"/>
    <x v="12"/>
    <x v="0"/>
    <x v="0"/>
    <n v="42"/>
    <x v="1"/>
    <x v="0"/>
    <x v="3"/>
    <x v="10"/>
    <x v="0"/>
    <x v="0"/>
    <x v="13"/>
    <n v="1"/>
    <n v="1266"/>
    <n v="2320"/>
    <x v="2"/>
    <n v="1266"/>
    <n v="2320"/>
  </r>
  <r>
    <x v="44"/>
    <x v="13"/>
    <x v="13"/>
    <x v="0"/>
    <x v="0"/>
    <n v="38"/>
    <x v="1"/>
    <x v="0"/>
    <x v="3"/>
    <x v="10"/>
    <x v="0"/>
    <x v="0"/>
    <x v="13"/>
    <n v="4"/>
    <n v="1266"/>
    <n v="2320"/>
    <x v="8"/>
    <n v="5064"/>
    <n v="9280"/>
  </r>
  <r>
    <x v="45"/>
    <x v="14"/>
    <x v="14"/>
    <x v="0"/>
    <x v="0"/>
    <n v="56"/>
    <x v="1"/>
    <x v="0"/>
    <x v="3"/>
    <x v="12"/>
    <x v="0"/>
    <x v="0"/>
    <x v="10"/>
    <n v="2"/>
    <n v="1252"/>
    <n v="2295"/>
    <x v="6"/>
    <n v="2504"/>
    <n v="4590"/>
  </r>
  <r>
    <x v="46"/>
    <x v="16"/>
    <x v="16"/>
    <x v="0"/>
    <x v="0"/>
    <n v="41"/>
    <x v="1"/>
    <x v="1"/>
    <x v="3"/>
    <x v="12"/>
    <x v="0"/>
    <x v="0"/>
    <x v="1"/>
    <n v="1"/>
    <n v="1266"/>
    <n v="2320"/>
    <x v="2"/>
    <n v="1266"/>
    <n v="2320"/>
  </r>
  <r>
    <x v="47"/>
    <x v="20"/>
    <x v="21"/>
    <x v="0"/>
    <x v="0"/>
    <n v="44"/>
    <x v="1"/>
    <x v="1"/>
    <x v="4"/>
    <x v="13"/>
    <x v="0"/>
    <x v="0"/>
    <x v="7"/>
    <n v="1"/>
    <n v="1266"/>
    <n v="2320"/>
    <x v="2"/>
    <n v="1266"/>
    <n v="2320"/>
  </r>
  <r>
    <x v="48"/>
    <x v="21"/>
    <x v="22"/>
    <x v="0"/>
    <x v="0"/>
    <n v="24"/>
    <x v="2"/>
    <x v="0"/>
    <x v="4"/>
    <x v="13"/>
    <x v="0"/>
    <x v="0"/>
    <x v="5"/>
    <n v="1"/>
    <n v="1252"/>
    <n v="2295"/>
    <x v="3"/>
    <n v="1252"/>
    <n v="2295"/>
  </r>
  <r>
    <x v="49"/>
    <x v="3"/>
    <x v="3"/>
    <x v="0"/>
    <x v="0"/>
    <n v="23"/>
    <x v="2"/>
    <x v="1"/>
    <x v="4"/>
    <x v="13"/>
    <x v="0"/>
    <x v="0"/>
    <x v="8"/>
    <n v="3"/>
    <n v="420"/>
    <n v="769"/>
    <x v="17"/>
    <n v="1260"/>
    <n v="2307"/>
  </r>
  <r>
    <x v="50"/>
    <x v="3"/>
    <x v="3"/>
    <x v="0"/>
    <x v="0"/>
    <n v="47"/>
    <x v="1"/>
    <x v="1"/>
    <x v="4"/>
    <x v="13"/>
    <x v="0"/>
    <x v="0"/>
    <x v="1"/>
    <n v="1"/>
    <n v="1266"/>
    <n v="2320"/>
    <x v="2"/>
    <n v="1266"/>
    <n v="2320"/>
  </r>
  <r>
    <x v="51"/>
    <x v="6"/>
    <x v="6"/>
    <x v="0"/>
    <x v="0"/>
    <n v="26"/>
    <x v="0"/>
    <x v="1"/>
    <x v="4"/>
    <x v="13"/>
    <x v="0"/>
    <x v="0"/>
    <x v="5"/>
    <n v="1"/>
    <n v="1252"/>
    <n v="2295"/>
    <x v="3"/>
    <n v="1252"/>
    <n v="2295"/>
  </r>
  <r>
    <x v="52"/>
    <x v="9"/>
    <x v="9"/>
    <x v="0"/>
    <x v="0"/>
    <n v="44"/>
    <x v="1"/>
    <x v="0"/>
    <x v="4"/>
    <x v="13"/>
    <x v="0"/>
    <x v="0"/>
    <x v="5"/>
    <n v="1"/>
    <n v="1252"/>
    <n v="2295"/>
    <x v="3"/>
    <n v="1252"/>
    <n v="2295"/>
  </r>
  <r>
    <x v="53"/>
    <x v="9"/>
    <x v="9"/>
    <x v="0"/>
    <x v="0"/>
    <n v="49"/>
    <x v="1"/>
    <x v="1"/>
    <x v="4"/>
    <x v="13"/>
    <x v="0"/>
    <x v="0"/>
    <x v="5"/>
    <n v="1"/>
    <n v="1252"/>
    <n v="2295"/>
    <x v="3"/>
    <n v="1252"/>
    <n v="2295"/>
  </r>
  <r>
    <x v="54"/>
    <x v="13"/>
    <x v="13"/>
    <x v="0"/>
    <x v="0"/>
    <n v="26"/>
    <x v="0"/>
    <x v="0"/>
    <x v="4"/>
    <x v="13"/>
    <x v="0"/>
    <x v="0"/>
    <x v="0"/>
    <n v="3"/>
    <n v="420"/>
    <n v="769"/>
    <x v="17"/>
    <n v="1260"/>
    <n v="2307"/>
  </r>
  <r>
    <x v="55"/>
    <x v="19"/>
    <x v="19"/>
    <x v="0"/>
    <x v="0"/>
    <n v="23"/>
    <x v="2"/>
    <x v="1"/>
    <x v="4"/>
    <x v="13"/>
    <x v="0"/>
    <x v="0"/>
    <x v="8"/>
    <n v="2"/>
    <n v="420"/>
    <n v="769"/>
    <x v="7"/>
    <n v="840"/>
    <n v="1538"/>
  </r>
  <r>
    <x v="56"/>
    <x v="21"/>
    <x v="22"/>
    <x v="0"/>
    <x v="0"/>
    <n v="37"/>
    <x v="1"/>
    <x v="0"/>
    <x v="5"/>
    <x v="14"/>
    <x v="0"/>
    <x v="0"/>
    <x v="10"/>
    <n v="2"/>
    <n v="1252"/>
    <n v="2295"/>
    <x v="6"/>
    <n v="2504"/>
    <n v="4590"/>
  </r>
  <r>
    <x v="57"/>
    <x v="20"/>
    <x v="21"/>
    <x v="0"/>
    <x v="0"/>
    <n v="39"/>
    <x v="1"/>
    <x v="0"/>
    <x v="5"/>
    <x v="14"/>
    <x v="0"/>
    <x v="0"/>
    <x v="10"/>
    <n v="4"/>
    <n v="1252"/>
    <n v="2295"/>
    <x v="11"/>
    <n v="5008"/>
    <n v="9180"/>
  </r>
  <r>
    <x v="58"/>
    <x v="0"/>
    <x v="0"/>
    <x v="0"/>
    <x v="0"/>
    <n v="37"/>
    <x v="1"/>
    <x v="1"/>
    <x v="5"/>
    <x v="14"/>
    <x v="0"/>
    <x v="0"/>
    <x v="8"/>
    <n v="2"/>
    <n v="420"/>
    <n v="769"/>
    <x v="7"/>
    <n v="840"/>
    <n v="1538"/>
  </r>
  <r>
    <x v="59"/>
    <x v="2"/>
    <x v="2"/>
    <x v="0"/>
    <x v="0"/>
    <n v="39"/>
    <x v="1"/>
    <x v="0"/>
    <x v="5"/>
    <x v="14"/>
    <x v="0"/>
    <x v="0"/>
    <x v="10"/>
    <n v="4"/>
    <n v="1252"/>
    <n v="2295"/>
    <x v="11"/>
    <n v="5008"/>
    <n v="9180"/>
  </r>
  <r>
    <x v="60"/>
    <x v="2"/>
    <x v="2"/>
    <x v="0"/>
    <x v="0"/>
    <n v="37"/>
    <x v="1"/>
    <x v="0"/>
    <x v="5"/>
    <x v="14"/>
    <x v="0"/>
    <x v="0"/>
    <x v="10"/>
    <n v="1"/>
    <n v="1252"/>
    <n v="2295"/>
    <x v="3"/>
    <n v="1252"/>
    <n v="2295"/>
  </r>
  <r>
    <x v="61"/>
    <x v="22"/>
    <x v="23"/>
    <x v="0"/>
    <x v="0"/>
    <n v="30"/>
    <x v="0"/>
    <x v="1"/>
    <x v="5"/>
    <x v="14"/>
    <x v="0"/>
    <x v="0"/>
    <x v="6"/>
    <n v="4"/>
    <n v="420"/>
    <n v="769"/>
    <x v="1"/>
    <n v="1680"/>
    <n v="3076"/>
  </r>
  <r>
    <x v="62"/>
    <x v="22"/>
    <x v="23"/>
    <x v="0"/>
    <x v="0"/>
    <n v="38"/>
    <x v="1"/>
    <x v="1"/>
    <x v="5"/>
    <x v="14"/>
    <x v="0"/>
    <x v="0"/>
    <x v="7"/>
    <n v="2"/>
    <n v="1266"/>
    <n v="2320"/>
    <x v="18"/>
    <n v="2532"/>
    <n v="4640"/>
  </r>
  <r>
    <x v="63"/>
    <x v="4"/>
    <x v="4"/>
    <x v="0"/>
    <x v="0"/>
    <n v="39"/>
    <x v="1"/>
    <x v="0"/>
    <x v="5"/>
    <x v="15"/>
    <x v="0"/>
    <x v="0"/>
    <x v="14"/>
    <n v="2"/>
    <n v="1252"/>
    <n v="2295"/>
    <x v="6"/>
    <n v="2504"/>
    <n v="4590"/>
  </r>
  <r>
    <x v="64"/>
    <x v="4"/>
    <x v="4"/>
    <x v="0"/>
    <x v="0"/>
    <n v="35"/>
    <x v="1"/>
    <x v="0"/>
    <x v="5"/>
    <x v="14"/>
    <x v="0"/>
    <x v="0"/>
    <x v="14"/>
    <n v="1"/>
    <n v="295"/>
    <n v="540"/>
    <x v="19"/>
    <n v="295"/>
    <n v="540"/>
  </r>
  <r>
    <x v="65"/>
    <x v="6"/>
    <x v="6"/>
    <x v="0"/>
    <x v="0"/>
    <n v="34"/>
    <x v="0"/>
    <x v="0"/>
    <x v="5"/>
    <x v="14"/>
    <x v="0"/>
    <x v="0"/>
    <x v="2"/>
    <n v="2"/>
    <n v="1252"/>
    <n v="2295"/>
    <x v="6"/>
    <n v="2504"/>
    <n v="4590"/>
  </r>
  <r>
    <x v="66"/>
    <x v="6"/>
    <x v="6"/>
    <x v="0"/>
    <x v="0"/>
    <n v="34"/>
    <x v="0"/>
    <x v="1"/>
    <x v="5"/>
    <x v="14"/>
    <x v="0"/>
    <x v="0"/>
    <x v="11"/>
    <n v="1"/>
    <n v="295"/>
    <n v="540"/>
    <x v="19"/>
    <n v="295"/>
    <n v="540"/>
  </r>
  <r>
    <x v="67"/>
    <x v="6"/>
    <x v="6"/>
    <x v="0"/>
    <x v="0"/>
    <n v="34"/>
    <x v="0"/>
    <x v="0"/>
    <x v="5"/>
    <x v="16"/>
    <x v="0"/>
    <x v="0"/>
    <x v="15"/>
    <n v="1"/>
    <n v="1912"/>
    <n v="3400"/>
    <x v="20"/>
    <n v="1912"/>
    <n v="3400"/>
  </r>
  <r>
    <x v="68"/>
    <x v="7"/>
    <x v="7"/>
    <x v="0"/>
    <x v="0"/>
    <n v="37"/>
    <x v="1"/>
    <x v="1"/>
    <x v="5"/>
    <x v="14"/>
    <x v="0"/>
    <x v="0"/>
    <x v="8"/>
    <n v="1"/>
    <n v="420"/>
    <n v="769"/>
    <x v="0"/>
    <n v="420"/>
    <n v="769"/>
  </r>
  <r>
    <x v="69"/>
    <x v="7"/>
    <x v="7"/>
    <x v="0"/>
    <x v="0"/>
    <n v="38"/>
    <x v="1"/>
    <x v="0"/>
    <x v="5"/>
    <x v="14"/>
    <x v="0"/>
    <x v="0"/>
    <x v="1"/>
    <n v="1"/>
    <n v="1266"/>
    <n v="2320"/>
    <x v="2"/>
    <n v="1266"/>
    <n v="2320"/>
  </r>
  <r>
    <x v="70"/>
    <x v="8"/>
    <x v="8"/>
    <x v="0"/>
    <x v="0"/>
    <n v="37"/>
    <x v="1"/>
    <x v="1"/>
    <x v="5"/>
    <x v="14"/>
    <x v="0"/>
    <x v="0"/>
    <x v="8"/>
    <n v="4"/>
    <n v="420"/>
    <n v="769"/>
    <x v="1"/>
    <n v="1680"/>
    <n v="3076"/>
  </r>
  <r>
    <x v="71"/>
    <x v="8"/>
    <x v="8"/>
    <x v="0"/>
    <x v="0"/>
    <n v="38"/>
    <x v="1"/>
    <x v="0"/>
    <x v="5"/>
    <x v="16"/>
    <x v="0"/>
    <x v="0"/>
    <x v="7"/>
    <n v="1"/>
    <n v="1266"/>
    <n v="2320"/>
    <x v="2"/>
    <n v="1266"/>
    <n v="2320"/>
  </r>
  <r>
    <x v="72"/>
    <x v="9"/>
    <x v="9"/>
    <x v="0"/>
    <x v="0"/>
    <n v="40"/>
    <x v="1"/>
    <x v="0"/>
    <x v="5"/>
    <x v="14"/>
    <x v="0"/>
    <x v="0"/>
    <x v="16"/>
    <n v="1"/>
    <n v="308"/>
    <n v="565"/>
    <x v="14"/>
    <n v="308"/>
    <n v="565"/>
  </r>
  <r>
    <x v="73"/>
    <x v="10"/>
    <x v="10"/>
    <x v="0"/>
    <x v="0"/>
    <n v="30"/>
    <x v="0"/>
    <x v="0"/>
    <x v="5"/>
    <x v="16"/>
    <x v="0"/>
    <x v="0"/>
    <x v="1"/>
    <n v="2"/>
    <n v="1266"/>
    <n v="2320"/>
    <x v="18"/>
    <n v="2532"/>
    <n v="4640"/>
  </r>
  <r>
    <x v="74"/>
    <x v="10"/>
    <x v="10"/>
    <x v="0"/>
    <x v="0"/>
    <n v="32"/>
    <x v="0"/>
    <x v="1"/>
    <x v="5"/>
    <x v="14"/>
    <x v="0"/>
    <x v="0"/>
    <x v="10"/>
    <n v="1"/>
    <n v="1252"/>
    <n v="2295"/>
    <x v="3"/>
    <n v="1252"/>
    <n v="2295"/>
  </r>
  <r>
    <x v="75"/>
    <x v="23"/>
    <x v="24"/>
    <x v="0"/>
    <x v="0"/>
    <n v="29"/>
    <x v="0"/>
    <x v="0"/>
    <x v="5"/>
    <x v="14"/>
    <x v="0"/>
    <x v="0"/>
    <x v="7"/>
    <n v="1"/>
    <n v="1266"/>
    <n v="2320"/>
    <x v="2"/>
    <n v="1266"/>
    <n v="2320"/>
  </r>
  <r>
    <x v="76"/>
    <x v="12"/>
    <x v="12"/>
    <x v="0"/>
    <x v="0"/>
    <n v="37"/>
    <x v="1"/>
    <x v="0"/>
    <x v="5"/>
    <x v="16"/>
    <x v="0"/>
    <x v="0"/>
    <x v="1"/>
    <n v="2"/>
    <n v="1266"/>
    <n v="2320"/>
    <x v="18"/>
    <n v="2532"/>
    <n v="4640"/>
  </r>
  <r>
    <x v="77"/>
    <x v="13"/>
    <x v="13"/>
    <x v="0"/>
    <x v="0"/>
    <n v="39"/>
    <x v="1"/>
    <x v="1"/>
    <x v="5"/>
    <x v="14"/>
    <x v="0"/>
    <x v="0"/>
    <x v="2"/>
    <n v="3"/>
    <n v="1252"/>
    <n v="2295"/>
    <x v="16"/>
    <n v="3756"/>
    <n v="6885"/>
  </r>
  <r>
    <x v="78"/>
    <x v="13"/>
    <x v="13"/>
    <x v="0"/>
    <x v="0"/>
    <n v="36"/>
    <x v="1"/>
    <x v="1"/>
    <x v="5"/>
    <x v="16"/>
    <x v="0"/>
    <x v="0"/>
    <x v="1"/>
    <n v="1"/>
    <n v="1266"/>
    <n v="2320"/>
    <x v="2"/>
    <n v="1266"/>
    <n v="2320"/>
  </r>
  <r>
    <x v="79"/>
    <x v="14"/>
    <x v="14"/>
    <x v="0"/>
    <x v="0"/>
    <n v="35"/>
    <x v="1"/>
    <x v="0"/>
    <x v="5"/>
    <x v="15"/>
    <x v="0"/>
    <x v="0"/>
    <x v="17"/>
    <n v="4"/>
    <n v="1898"/>
    <n v="3375"/>
    <x v="13"/>
    <n v="7592"/>
    <n v="13500"/>
  </r>
  <r>
    <x v="80"/>
    <x v="14"/>
    <x v="14"/>
    <x v="0"/>
    <x v="0"/>
    <n v="37"/>
    <x v="1"/>
    <x v="1"/>
    <x v="5"/>
    <x v="15"/>
    <x v="0"/>
    <x v="0"/>
    <x v="5"/>
    <n v="4"/>
    <n v="1252"/>
    <n v="2295"/>
    <x v="11"/>
    <n v="5008"/>
    <n v="9180"/>
  </r>
  <r>
    <x v="81"/>
    <x v="14"/>
    <x v="14"/>
    <x v="0"/>
    <x v="0"/>
    <n v="39"/>
    <x v="1"/>
    <x v="0"/>
    <x v="5"/>
    <x v="14"/>
    <x v="0"/>
    <x v="0"/>
    <x v="10"/>
    <n v="4"/>
    <n v="1252"/>
    <n v="2295"/>
    <x v="11"/>
    <n v="5008"/>
    <n v="9180"/>
  </r>
  <r>
    <x v="82"/>
    <x v="14"/>
    <x v="14"/>
    <x v="0"/>
    <x v="0"/>
    <n v="39"/>
    <x v="1"/>
    <x v="0"/>
    <x v="5"/>
    <x v="16"/>
    <x v="0"/>
    <x v="0"/>
    <x v="1"/>
    <n v="1"/>
    <n v="1266"/>
    <n v="2320"/>
    <x v="2"/>
    <n v="1266"/>
    <n v="2320"/>
  </r>
  <r>
    <x v="83"/>
    <x v="16"/>
    <x v="16"/>
    <x v="0"/>
    <x v="0"/>
    <n v="30"/>
    <x v="0"/>
    <x v="0"/>
    <x v="5"/>
    <x v="16"/>
    <x v="0"/>
    <x v="0"/>
    <x v="1"/>
    <n v="3"/>
    <n v="1266"/>
    <n v="2320"/>
    <x v="9"/>
    <n v="3798"/>
    <n v="6960"/>
  </r>
  <r>
    <x v="84"/>
    <x v="16"/>
    <x v="16"/>
    <x v="0"/>
    <x v="0"/>
    <n v="41"/>
    <x v="1"/>
    <x v="1"/>
    <x v="5"/>
    <x v="14"/>
    <x v="0"/>
    <x v="0"/>
    <x v="2"/>
    <n v="3"/>
    <n v="1252"/>
    <n v="2295"/>
    <x v="16"/>
    <n v="3756"/>
    <n v="6885"/>
  </r>
  <r>
    <x v="85"/>
    <x v="18"/>
    <x v="18"/>
    <x v="0"/>
    <x v="0"/>
    <n v="30"/>
    <x v="0"/>
    <x v="0"/>
    <x v="5"/>
    <x v="15"/>
    <x v="0"/>
    <x v="0"/>
    <x v="7"/>
    <n v="1"/>
    <n v="1266"/>
    <n v="2320"/>
    <x v="2"/>
    <n v="1266"/>
    <n v="2320"/>
  </r>
  <r>
    <x v="86"/>
    <x v="18"/>
    <x v="18"/>
    <x v="0"/>
    <x v="0"/>
    <n v="35"/>
    <x v="1"/>
    <x v="0"/>
    <x v="5"/>
    <x v="14"/>
    <x v="0"/>
    <x v="0"/>
    <x v="14"/>
    <n v="1"/>
    <n v="295"/>
    <n v="540"/>
    <x v="19"/>
    <n v="295"/>
    <n v="540"/>
  </r>
  <r>
    <x v="87"/>
    <x v="21"/>
    <x v="22"/>
    <x v="0"/>
    <x v="0"/>
    <n v="37"/>
    <x v="1"/>
    <x v="1"/>
    <x v="5"/>
    <x v="16"/>
    <x v="0"/>
    <x v="0"/>
    <x v="10"/>
    <n v="1"/>
    <n v="1252"/>
    <n v="2295"/>
    <x v="3"/>
    <n v="1252"/>
    <n v="2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d v="2021-12-02T00:00:00"/>
    <n v="2"/>
    <s v="December"/>
    <n v="2021"/>
    <n v="31"/>
    <x v="0"/>
    <x v="0"/>
    <x v="0"/>
    <x v="0"/>
    <x v="0"/>
    <x v="0"/>
    <x v="0"/>
    <n v="1"/>
    <n v="420"/>
    <n v="769"/>
    <n v="349"/>
    <n v="420"/>
    <x v="0"/>
  </r>
  <r>
    <x v="1"/>
    <d v="2021-12-04T00:00:00"/>
    <n v="4"/>
    <s v="December"/>
    <n v="2021"/>
    <n v="31"/>
    <x v="0"/>
    <x v="0"/>
    <x v="0"/>
    <x v="0"/>
    <x v="0"/>
    <x v="0"/>
    <x v="0"/>
    <n v="4"/>
    <n v="420"/>
    <n v="769"/>
    <n v="1396"/>
    <n v="1680"/>
    <x v="1"/>
  </r>
  <r>
    <x v="2"/>
    <d v="2021-12-05T00:00:00"/>
    <n v="5"/>
    <s v="December"/>
    <n v="2021"/>
    <n v="35"/>
    <x v="1"/>
    <x v="0"/>
    <x v="0"/>
    <x v="1"/>
    <x v="0"/>
    <x v="0"/>
    <x v="1"/>
    <n v="1"/>
    <n v="1266"/>
    <n v="2320"/>
    <n v="1054"/>
    <n v="1266"/>
    <x v="2"/>
  </r>
  <r>
    <x v="3"/>
    <d v="2021-12-06T00:00:00"/>
    <n v="6"/>
    <s v="December"/>
    <n v="2021"/>
    <n v="36"/>
    <x v="1"/>
    <x v="1"/>
    <x v="0"/>
    <x v="0"/>
    <x v="0"/>
    <x v="0"/>
    <x v="2"/>
    <n v="1"/>
    <n v="1252"/>
    <n v="2295"/>
    <n v="1043"/>
    <n v="1252"/>
    <x v="3"/>
  </r>
  <r>
    <x v="4"/>
    <d v="2021-12-08T00:00:00"/>
    <n v="8"/>
    <s v="December"/>
    <n v="2021"/>
    <n v="19"/>
    <x v="2"/>
    <x v="0"/>
    <x v="0"/>
    <x v="0"/>
    <x v="0"/>
    <x v="0"/>
    <x v="3"/>
    <n v="4"/>
    <n v="308"/>
    <n v="565"/>
    <n v="1028"/>
    <n v="1232"/>
    <x v="4"/>
  </r>
  <r>
    <x v="5"/>
    <d v="2021-12-09T00:00:00"/>
    <n v="9"/>
    <s v="December"/>
    <n v="2021"/>
    <n v="33"/>
    <x v="0"/>
    <x v="0"/>
    <x v="0"/>
    <x v="2"/>
    <x v="0"/>
    <x v="0"/>
    <x v="4"/>
    <n v="2"/>
    <n v="1898"/>
    <n v="3375"/>
    <n v="2954"/>
    <n v="3796"/>
    <x v="5"/>
  </r>
  <r>
    <x v="6"/>
    <d v="2021-12-10T00:00:00"/>
    <n v="10"/>
    <s v="December"/>
    <n v="2021"/>
    <n v="40"/>
    <x v="1"/>
    <x v="1"/>
    <x v="0"/>
    <x v="0"/>
    <x v="0"/>
    <x v="0"/>
    <x v="2"/>
    <n v="2"/>
    <n v="1252"/>
    <n v="2295"/>
    <n v="2086"/>
    <n v="2504"/>
    <x v="6"/>
  </r>
  <r>
    <x v="7"/>
    <d v="2021-12-10T00:00:00"/>
    <n v="10"/>
    <s v="December"/>
    <n v="2021"/>
    <n v="38"/>
    <x v="1"/>
    <x v="1"/>
    <x v="0"/>
    <x v="0"/>
    <x v="0"/>
    <x v="0"/>
    <x v="5"/>
    <n v="1"/>
    <n v="1252"/>
    <n v="2295"/>
    <n v="1043"/>
    <n v="1252"/>
    <x v="3"/>
  </r>
  <r>
    <x v="8"/>
    <d v="2021-12-11T00:00:00"/>
    <n v="11"/>
    <s v="December"/>
    <n v="2021"/>
    <n v="41"/>
    <x v="1"/>
    <x v="0"/>
    <x v="0"/>
    <x v="0"/>
    <x v="0"/>
    <x v="0"/>
    <x v="6"/>
    <n v="2"/>
    <n v="420"/>
    <n v="769"/>
    <n v="698"/>
    <n v="840"/>
    <x v="7"/>
  </r>
  <r>
    <x v="9"/>
    <d v="2021-12-12T00:00:00"/>
    <n v="12"/>
    <s v="December"/>
    <n v="2021"/>
    <n v="36"/>
    <x v="1"/>
    <x v="0"/>
    <x v="0"/>
    <x v="0"/>
    <x v="0"/>
    <x v="0"/>
    <x v="7"/>
    <n v="4"/>
    <n v="1266"/>
    <n v="2320"/>
    <n v="4216"/>
    <n v="5064"/>
    <x v="8"/>
  </r>
  <r>
    <x v="10"/>
    <d v="2021-12-12T00:00:00"/>
    <n v="12"/>
    <s v="December"/>
    <n v="2021"/>
    <n v="34"/>
    <x v="0"/>
    <x v="1"/>
    <x v="0"/>
    <x v="0"/>
    <x v="0"/>
    <x v="0"/>
    <x v="5"/>
    <n v="2"/>
    <n v="1252"/>
    <n v="2295"/>
    <n v="2086"/>
    <n v="2504"/>
    <x v="6"/>
  </r>
  <r>
    <x v="11"/>
    <d v="2021-12-12T00:00:00"/>
    <n v="12"/>
    <s v="December"/>
    <n v="2021"/>
    <n v="35"/>
    <x v="1"/>
    <x v="0"/>
    <x v="0"/>
    <x v="2"/>
    <x v="0"/>
    <x v="0"/>
    <x v="7"/>
    <n v="1"/>
    <n v="1266"/>
    <n v="2320"/>
    <n v="1054"/>
    <n v="1266"/>
    <x v="2"/>
  </r>
  <r>
    <x v="12"/>
    <d v="2021-12-13T00:00:00"/>
    <n v="13"/>
    <s v="December"/>
    <n v="2021"/>
    <n v="32"/>
    <x v="0"/>
    <x v="0"/>
    <x v="0"/>
    <x v="1"/>
    <x v="0"/>
    <x v="0"/>
    <x v="7"/>
    <n v="3"/>
    <n v="1266"/>
    <n v="2320"/>
    <n v="3162"/>
    <n v="3798"/>
    <x v="9"/>
  </r>
  <r>
    <x v="13"/>
    <d v="2021-12-14T00:00:00"/>
    <n v="14"/>
    <s v="December"/>
    <n v="2021"/>
    <n v="32"/>
    <x v="0"/>
    <x v="0"/>
    <x v="0"/>
    <x v="2"/>
    <x v="0"/>
    <x v="0"/>
    <x v="8"/>
    <n v="1"/>
    <n v="420"/>
    <n v="769"/>
    <n v="349"/>
    <n v="420"/>
    <x v="0"/>
  </r>
  <r>
    <x v="14"/>
    <d v="2021-12-16T00:00:00"/>
    <n v="16"/>
    <s v="December"/>
    <n v="2021"/>
    <n v="33"/>
    <x v="0"/>
    <x v="0"/>
    <x v="0"/>
    <x v="0"/>
    <x v="0"/>
    <x v="0"/>
    <x v="5"/>
    <n v="2"/>
    <n v="1252"/>
    <n v="2295"/>
    <n v="2086"/>
    <n v="2504"/>
    <x v="6"/>
  </r>
  <r>
    <x v="15"/>
    <d v="2021-12-16T00:00:00"/>
    <n v="16"/>
    <s v="December"/>
    <n v="2021"/>
    <n v="38"/>
    <x v="1"/>
    <x v="1"/>
    <x v="0"/>
    <x v="0"/>
    <x v="0"/>
    <x v="0"/>
    <x v="5"/>
    <n v="2"/>
    <n v="1252"/>
    <n v="2295"/>
    <n v="2086"/>
    <n v="2504"/>
    <x v="6"/>
  </r>
  <r>
    <x v="16"/>
    <d v="2021-12-17T00:00:00"/>
    <n v="17"/>
    <s v="December"/>
    <n v="2021"/>
    <n v="31"/>
    <x v="0"/>
    <x v="1"/>
    <x v="0"/>
    <x v="0"/>
    <x v="0"/>
    <x v="0"/>
    <x v="0"/>
    <n v="1"/>
    <n v="420"/>
    <n v="769"/>
    <n v="349"/>
    <n v="420"/>
    <x v="0"/>
  </r>
  <r>
    <x v="17"/>
    <d v="2021-12-18T00:00:00"/>
    <n v="18"/>
    <s v="December"/>
    <n v="2021"/>
    <n v="35"/>
    <x v="1"/>
    <x v="0"/>
    <x v="0"/>
    <x v="0"/>
    <x v="0"/>
    <x v="0"/>
    <x v="3"/>
    <n v="4"/>
    <n v="308"/>
    <n v="565"/>
    <n v="1028"/>
    <n v="1232"/>
    <x v="4"/>
  </r>
  <r>
    <x v="18"/>
    <d v="2021-12-19T00:00:00"/>
    <n v="19"/>
    <s v="December"/>
    <n v="2021"/>
    <n v="19"/>
    <x v="2"/>
    <x v="0"/>
    <x v="0"/>
    <x v="2"/>
    <x v="0"/>
    <x v="0"/>
    <x v="9"/>
    <n v="4"/>
    <n v="295"/>
    <n v="540"/>
    <n v="980"/>
    <n v="1180"/>
    <x v="10"/>
  </r>
  <r>
    <x v="19"/>
    <d v="2021-12-19T00:00:00"/>
    <n v="19"/>
    <s v="December"/>
    <n v="2021"/>
    <n v="63"/>
    <x v="1"/>
    <x v="0"/>
    <x v="0"/>
    <x v="1"/>
    <x v="0"/>
    <x v="0"/>
    <x v="10"/>
    <n v="4"/>
    <n v="1252"/>
    <n v="2295"/>
    <n v="4172"/>
    <n v="5008"/>
    <x v="11"/>
  </r>
  <r>
    <x v="20"/>
    <d v="2021-12-19T00:00:00"/>
    <n v="19"/>
    <s v="December"/>
    <n v="2021"/>
    <n v="18"/>
    <x v="2"/>
    <x v="1"/>
    <x v="0"/>
    <x v="3"/>
    <x v="0"/>
    <x v="0"/>
    <x v="11"/>
    <n v="2"/>
    <n v="295"/>
    <n v="540"/>
    <n v="490"/>
    <n v="590"/>
    <x v="12"/>
  </r>
  <r>
    <x v="21"/>
    <d v="2021-12-20T00:00:00"/>
    <n v="20"/>
    <s v="December"/>
    <n v="2021"/>
    <n v="33"/>
    <x v="0"/>
    <x v="0"/>
    <x v="0"/>
    <x v="2"/>
    <x v="0"/>
    <x v="0"/>
    <x v="4"/>
    <n v="4"/>
    <n v="1898"/>
    <n v="3375"/>
    <n v="5908"/>
    <n v="7592"/>
    <x v="13"/>
  </r>
  <r>
    <x v="22"/>
    <d v="2021-12-20T00:00:00"/>
    <n v="20"/>
    <s v="December"/>
    <n v="2021"/>
    <n v="57"/>
    <x v="1"/>
    <x v="1"/>
    <x v="0"/>
    <x v="1"/>
    <x v="0"/>
    <x v="0"/>
    <x v="10"/>
    <n v="4"/>
    <n v="1252"/>
    <n v="2295"/>
    <n v="4172"/>
    <n v="5008"/>
    <x v="11"/>
  </r>
  <r>
    <x v="23"/>
    <d v="2021-12-20T00:00:00"/>
    <n v="20"/>
    <s v="December"/>
    <n v="2021"/>
    <n v="35"/>
    <x v="1"/>
    <x v="0"/>
    <x v="0"/>
    <x v="1"/>
    <x v="0"/>
    <x v="0"/>
    <x v="1"/>
    <n v="1"/>
    <n v="1266"/>
    <n v="2320"/>
    <n v="1054"/>
    <n v="1266"/>
    <x v="2"/>
  </r>
  <r>
    <x v="24"/>
    <d v="2021-12-20T00:00:00"/>
    <n v="20"/>
    <s v="December"/>
    <n v="2021"/>
    <n v="35"/>
    <x v="1"/>
    <x v="1"/>
    <x v="0"/>
    <x v="2"/>
    <x v="0"/>
    <x v="0"/>
    <x v="1"/>
    <n v="1"/>
    <n v="1266"/>
    <n v="2320"/>
    <n v="1054"/>
    <n v="1266"/>
    <x v="2"/>
  </r>
  <r>
    <x v="25"/>
    <d v="2021-12-22T00:00:00"/>
    <n v="22"/>
    <s v="December"/>
    <n v="2021"/>
    <n v="19"/>
    <x v="2"/>
    <x v="0"/>
    <x v="0"/>
    <x v="0"/>
    <x v="0"/>
    <x v="0"/>
    <x v="3"/>
    <n v="1"/>
    <n v="308"/>
    <n v="565"/>
    <n v="257"/>
    <n v="308"/>
    <x v="14"/>
  </r>
  <r>
    <x v="26"/>
    <d v="2021-12-24T00:00:00"/>
    <n v="24"/>
    <s v="December"/>
    <n v="2021"/>
    <n v="38"/>
    <x v="1"/>
    <x v="1"/>
    <x v="0"/>
    <x v="1"/>
    <x v="0"/>
    <x v="0"/>
    <x v="2"/>
    <n v="4"/>
    <n v="1252"/>
    <n v="2295"/>
    <n v="4172"/>
    <n v="5008"/>
    <x v="11"/>
  </r>
  <r>
    <x v="27"/>
    <d v="2021-12-06T00:00:00"/>
    <n v="6"/>
    <s v="December"/>
    <n v="2021"/>
    <n v="27"/>
    <x v="0"/>
    <x v="1"/>
    <x v="1"/>
    <x v="4"/>
    <x v="0"/>
    <x v="0"/>
    <x v="10"/>
    <n v="1"/>
    <n v="1252"/>
    <n v="2295"/>
    <n v="1043"/>
    <n v="1252"/>
    <x v="3"/>
  </r>
  <r>
    <x v="28"/>
    <d v="2021-12-08T00:00:00"/>
    <n v="8"/>
    <s v="December"/>
    <n v="2021"/>
    <n v="30"/>
    <x v="0"/>
    <x v="0"/>
    <x v="1"/>
    <x v="4"/>
    <x v="0"/>
    <x v="0"/>
    <x v="1"/>
    <n v="4"/>
    <n v="1266"/>
    <n v="2320"/>
    <n v="4216"/>
    <n v="5064"/>
    <x v="8"/>
  </r>
  <r>
    <x v="29"/>
    <d v="2021-12-11T00:00:00"/>
    <n v="11"/>
    <s v="December"/>
    <n v="2021"/>
    <n v="27"/>
    <x v="0"/>
    <x v="1"/>
    <x v="1"/>
    <x v="4"/>
    <x v="0"/>
    <x v="0"/>
    <x v="10"/>
    <n v="1"/>
    <n v="1252"/>
    <n v="2295"/>
    <n v="1043"/>
    <n v="1252"/>
    <x v="3"/>
  </r>
  <r>
    <x v="30"/>
    <d v="2021-12-20T00:00:00"/>
    <n v="20"/>
    <s v="December"/>
    <n v="2021"/>
    <n v="29"/>
    <x v="0"/>
    <x v="1"/>
    <x v="1"/>
    <x v="4"/>
    <x v="0"/>
    <x v="0"/>
    <x v="12"/>
    <n v="3"/>
    <n v="295"/>
    <n v="540"/>
    <n v="735"/>
    <n v="885"/>
    <x v="15"/>
  </r>
  <r>
    <x v="31"/>
    <d v="2021-12-22T00:00:00"/>
    <n v="22"/>
    <s v="December"/>
    <n v="2021"/>
    <n v="27"/>
    <x v="0"/>
    <x v="0"/>
    <x v="1"/>
    <x v="4"/>
    <x v="0"/>
    <x v="0"/>
    <x v="10"/>
    <n v="1"/>
    <n v="1252"/>
    <n v="2295"/>
    <n v="1043"/>
    <n v="1252"/>
    <x v="3"/>
  </r>
  <r>
    <x v="32"/>
    <d v="2021-12-23T00:00:00"/>
    <n v="23"/>
    <s v="December"/>
    <n v="2021"/>
    <n v="31"/>
    <x v="0"/>
    <x v="0"/>
    <x v="1"/>
    <x v="4"/>
    <x v="0"/>
    <x v="0"/>
    <x v="2"/>
    <n v="1"/>
    <n v="1252"/>
    <n v="2295"/>
    <n v="1043"/>
    <n v="1252"/>
    <x v="3"/>
  </r>
  <r>
    <x v="33"/>
    <d v="2021-12-11T00:00:00"/>
    <n v="11"/>
    <s v="December"/>
    <n v="2021"/>
    <n v="24"/>
    <x v="2"/>
    <x v="0"/>
    <x v="2"/>
    <x v="5"/>
    <x v="0"/>
    <x v="0"/>
    <x v="5"/>
    <n v="3"/>
    <n v="1252"/>
    <n v="2295"/>
    <n v="3129"/>
    <n v="3756"/>
    <x v="16"/>
  </r>
  <r>
    <x v="34"/>
    <d v="2021-12-16T00:00:00"/>
    <n v="16"/>
    <s v="December"/>
    <n v="2021"/>
    <n v="27"/>
    <x v="0"/>
    <x v="0"/>
    <x v="2"/>
    <x v="6"/>
    <x v="0"/>
    <x v="0"/>
    <x v="13"/>
    <n v="1"/>
    <n v="1266"/>
    <n v="2320"/>
    <n v="1054"/>
    <n v="1266"/>
    <x v="2"/>
  </r>
  <r>
    <x v="35"/>
    <d v="2021-12-18T00:00:00"/>
    <n v="18"/>
    <s v="December"/>
    <n v="2021"/>
    <n v="24"/>
    <x v="2"/>
    <x v="0"/>
    <x v="2"/>
    <x v="7"/>
    <x v="0"/>
    <x v="0"/>
    <x v="1"/>
    <n v="3"/>
    <n v="1266"/>
    <n v="2320"/>
    <n v="3162"/>
    <n v="3798"/>
    <x v="9"/>
  </r>
  <r>
    <x v="36"/>
    <d v="2021-12-18T00:00:00"/>
    <n v="18"/>
    <s v="December"/>
    <n v="2021"/>
    <n v="26"/>
    <x v="0"/>
    <x v="1"/>
    <x v="2"/>
    <x v="5"/>
    <x v="0"/>
    <x v="0"/>
    <x v="10"/>
    <n v="1"/>
    <n v="1252"/>
    <n v="2295"/>
    <n v="1043"/>
    <n v="1252"/>
    <x v="3"/>
  </r>
  <r>
    <x v="37"/>
    <d v="2021-12-19T00:00:00"/>
    <n v="19"/>
    <s v="December"/>
    <n v="2021"/>
    <n v="17"/>
    <x v="2"/>
    <x v="1"/>
    <x v="2"/>
    <x v="8"/>
    <x v="0"/>
    <x v="0"/>
    <x v="13"/>
    <n v="4"/>
    <n v="1266"/>
    <n v="2320"/>
    <n v="4216"/>
    <n v="5064"/>
    <x v="8"/>
  </r>
  <r>
    <x v="38"/>
    <d v="2021-12-19T00:00:00"/>
    <n v="19"/>
    <s v="December"/>
    <n v="2021"/>
    <n v="25"/>
    <x v="0"/>
    <x v="1"/>
    <x v="2"/>
    <x v="5"/>
    <x v="0"/>
    <x v="0"/>
    <x v="5"/>
    <n v="4"/>
    <n v="1252"/>
    <n v="2295"/>
    <n v="4172"/>
    <n v="5008"/>
    <x v="11"/>
  </r>
  <r>
    <x v="39"/>
    <d v="2021-12-21T00:00:00"/>
    <n v="21"/>
    <s v="December"/>
    <n v="2021"/>
    <n v="26"/>
    <x v="0"/>
    <x v="1"/>
    <x v="2"/>
    <x v="9"/>
    <x v="0"/>
    <x v="0"/>
    <x v="1"/>
    <n v="3"/>
    <n v="1266"/>
    <n v="2320"/>
    <n v="3162"/>
    <n v="3798"/>
    <x v="9"/>
  </r>
  <r>
    <x v="40"/>
    <d v="2021-12-22T00:00:00"/>
    <n v="22"/>
    <s v="December"/>
    <n v="2021"/>
    <n v="25"/>
    <x v="0"/>
    <x v="1"/>
    <x v="2"/>
    <x v="5"/>
    <x v="0"/>
    <x v="0"/>
    <x v="5"/>
    <n v="1"/>
    <n v="1252"/>
    <n v="2295"/>
    <n v="1043"/>
    <n v="1252"/>
    <x v="3"/>
  </r>
  <r>
    <x v="41"/>
    <d v="2021-12-05T00:00:00"/>
    <m/>
    <s v="December"/>
    <n v="2021"/>
    <n v="42"/>
    <x v="1"/>
    <x v="1"/>
    <x v="3"/>
    <x v="10"/>
    <x v="0"/>
    <x v="0"/>
    <x v="5"/>
    <n v="4"/>
    <n v="1252"/>
    <n v="2295"/>
    <n v="4172"/>
    <n v="5008"/>
    <x v="11"/>
  </r>
  <r>
    <x v="42"/>
    <d v="2021-12-09T00:00:00"/>
    <n v="9"/>
    <s v="December"/>
    <n v="2021"/>
    <n v="41"/>
    <x v="1"/>
    <x v="0"/>
    <x v="3"/>
    <x v="11"/>
    <x v="0"/>
    <x v="0"/>
    <x v="7"/>
    <n v="1"/>
    <n v="1266"/>
    <n v="2320"/>
    <n v="1054"/>
    <n v="1266"/>
    <x v="2"/>
  </r>
  <r>
    <x v="43"/>
    <d v="2021-12-17T00:00:00"/>
    <n v="17"/>
    <s v="December"/>
    <n v="2021"/>
    <n v="42"/>
    <x v="1"/>
    <x v="0"/>
    <x v="3"/>
    <x v="10"/>
    <x v="0"/>
    <x v="0"/>
    <x v="13"/>
    <n v="1"/>
    <n v="1266"/>
    <n v="2320"/>
    <n v="1054"/>
    <n v="1266"/>
    <x v="2"/>
  </r>
  <r>
    <x v="44"/>
    <d v="2021-12-18T00:00:00"/>
    <n v="18"/>
    <s v="December"/>
    <n v="2021"/>
    <n v="38"/>
    <x v="1"/>
    <x v="0"/>
    <x v="3"/>
    <x v="10"/>
    <x v="0"/>
    <x v="0"/>
    <x v="13"/>
    <n v="4"/>
    <n v="1266"/>
    <n v="2320"/>
    <n v="4216"/>
    <n v="5064"/>
    <x v="8"/>
  </r>
  <r>
    <x v="45"/>
    <d v="2021-12-19T00:00:00"/>
    <n v="19"/>
    <s v="December"/>
    <n v="2021"/>
    <n v="56"/>
    <x v="1"/>
    <x v="0"/>
    <x v="3"/>
    <x v="12"/>
    <x v="0"/>
    <x v="0"/>
    <x v="10"/>
    <n v="2"/>
    <n v="1252"/>
    <n v="2295"/>
    <n v="2086"/>
    <n v="2504"/>
    <x v="6"/>
  </r>
  <r>
    <x v="46"/>
    <d v="2021-12-22T00:00:00"/>
    <n v="22"/>
    <s v="December"/>
    <n v="2021"/>
    <n v="41"/>
    <x v="1"/>
    <x v="1"/>
    <x v="3"/>
    <x v="12"/>
    <x v="0"/>
    <x v="0"/>
    <x v="1"/>
    <n v="1"/>
    <n v="1266"/>
    <n v="2320"/>
    <n v="1054"/>
    <n v="1266"/>
    <x v="2"/>
  </r>
  <r>
    <x v="47"/>
    <d v="2021-12-01T00:00:00"/>
    <n v="1"/>
    <s v="December"/>
    <n v="2021"/>
    <n v="44"/>
    <x v="1"/>
    <x v="1"/>
    <x v="4"/>
    <x v="13"/>
    <x v="0"/>
    <x v="0"/>
    <x v="7"/>
    <n v="1"/>
    <n v="1266"/>
    <n v="2320"/>
    <n v="1054"/>
    <n v="1266"/>
    <x v="2"/>
  </r>
  <r>
    <x v="48"/>
    <d v="2021-12-03T00:00:00"/>
    <n v="3"/>
    <s v="December"/>
    <n v="2021"/>
    <n v="24"/>
    <x v="2"/>
    <x v="0"/>
    <x v="4"/>
    <x v="13"/>
    <x v="0"/>
    <x v="0"/>
    <x v="5"/>
    <n v="1"/>
    <n v="1252"/>
    <n v="2295"/>
    <n v="1043"/>
    <n v="1252"/>
    <x v="3"/>
  </r>
  <r>
    <x v="49"/>
    <d v="2021-12-06T00:00:00"/>
    <n v="6"/>
    <s v="December"/>
    <n v="2021"/>
    <n v="23"/>
    <x v="2"/>
    <x v="1"/>
    <x v="4"/>
    <x v="13"/>
    <x v="0"/>
    <x v="0"/>
    <x v="8"/>
    <n v="3"/>
    <n v="420"/>
    <n v="769"/>
    <n v="1047"/>
    <n v="1260"/>
    <x v="17"/>
  </r>
  <r>
    <x v="50"/>
    <d v="2021-12-06T00:00:00"/>
    <n v="6"/>
    <s v="December"/>
    <n v="2021"/>
    <n v="47"/>
    <x v="1"/>
    <x v="1"/>
    <x v="4"/>
    <x v="13"/>
    <x v="0"/>
    <x v="0"/>
    <x v="1"/>
    <n v="1"/>
    <n v="1266"/>
    <n v="2320"/>
    <n v="1054"/>
    <n v="1266"/>
    <x v="2"/>
  </r>
  <r>
    <x v="51"/>
    <d v="2021-12-10T00:00:00"/>
    <n v="10"/>
    <s v="December"/>
    <n v="2021"/>
    <n v="26"/>
    <x v="0"/>
    <x v="1"/>
    <x v="4"/>
    <x v="13"/>
    <x v="0"/>
    <x v="0"/>
    <x v="5"/>
    <n v="1"/>
    <n v="1252"/>
    <n v="2295"/>
    <n v="1043"/>
    <n v="1252"/>
    <x v="3"/>
  </r>
  <r>
    <x v="52"/>
    <d v="2021-12-13T00:00:00"/>
    <n v="13"/>
    <s v="December"/>
    <n v="2021"/>
    <n v="44"/>
    <x v="1"/>
    <x v="0"/>
    <x v="4"/>
    <x v="13"/>
    <x v="0"/>
    <x v="0"/>
    <x v="5"/>
    <n v="1"/>
    <n v="1252"/>
    <n v="2295"/>
    <n v="1043"/>
    <n v="1252"/>
    <x v="3"/>
  </r>
  <r>
    <x v="53"/>
    <d v="2021-12-13T00:00:00"/>
    <n v="13"/>
    <s v="December"/>
    <n v="2021"/>
    <n v="49"/>
    <x v="1"/>
    <x v="1"/>
    <x v="4"/>
    <x v="13"/>
    <x v="0"/>
    <x v="0"/>
    <x v="5"/>
    <n v="1"/>
    <n v="1252"/>
    <n v="2295"/>
    <n v="1043"/>
    <n v="1252"/>
    <x v="3"/>
  </r>
  <r>
    <x v="54"/>
    <d v="2021-12-18T00:00:00"/>
    <n v="18"/>
    <s v="December"/>
    <n v="2021"/>
    <n v="26"/>
    <x v="0"/>
    <x v="0"/>
    <x v="4"/>
    <x v="13"/>
    <x v="0"/>
    <x v="0"/>
    <x v="0"/>
    <n v="3"/>
    <n v="420"/>
    <n v="769"/>
    <n v="1047"/>
    <n v="1260"/>
    <x v="17"/>
  </r>
  <r>
    <x v="55"/>
    <d v="2021-12-21T00:00:00"/>
    <n v="21"/>
    <s v="December"/>
    <n v="2021"/>
    <n v="23"/>
    <x v="2"/>
    <x v="1"/>
    <x v="4"/>
    <x v="13"/>
    <x v="0"/>
    <x v="0"/>
    <x v="8"/>
    <n v="2"/>
    <n v="420"/>
    <n v="769"/>
    <n v="698"/>
    <n v="840"/>
    <x v="7"/>
  </r>
  <r>
    <x v="56"/>
    <d v="2021-12-03T00:00:00"/>
    <n v="3"/>
    <s v="December"/>
    <n v="2021"/>
    <n v="37"/>
    <x v="1"/>
    <x v="0"/>
    <x v="5"/>
    <x v="14"/>
    <x v="0"/>
    <x v="0"/>
    <x v="10"/>
    <n v="2"/>
    <n v="1252"/>
    <n v="2295"/>
    <n v="2086"/>
    <n v="2504"/>
    <x v="6"/>
  </r>
  <r>
    <x v="57"/>
    <d v="2021-12-01T00:00:00"/>
    <n v="1"/>
    <s v="December"/>
    <n v="2021"/>
    <n v="39"/>
    <x v="1"/>
    <x v="0"/>
    <x v="5"/>
    <x v="14"/>
    <x v="0"/>
    <x v="0"/>
    <x v="10"/>
    <n v="4"/>
    <n v="1252"/>
    <n v="2295"/>
    <n v="4172"/>
    <n v="5008"/>
    <x v="11"/>
  </r>
  <r>
    <x v="58"/>
    <d v="2021-12-02T00:00:00"/>
    <n v="2"/>
    <s v="December"/>
    <n v="2021"/>
    <n v="37"/>
    <x v="1"/>
    <x v="1"/>
    <x v="5"/>
    <x v="14"/>
    <x v="0"/>
    <x v="0"/>
    <x v="8"/>
    <n v="2"/>
    <n v="420"/>
    <n v="769"/>
    <n v="698"/>
    <n v="840"/>
    <x v="7"/>
  </r>
  <r>
    <x v="59"/>
    <d v="2021-12-05T00:00:00"/>
    <n v="5"/>
    <s v="December"/>
    <n v="2021"/>
    <n v="39"/>
    <x v="1"/>
    <x v="0"/>
    <x v="5"/>
    <x v="14"/>
    <x v="0"/>
    <x v="0"/>
    <x v="10"/>
    <n v="4"/>
    <n v="1252"/>
    <n v="2295"/>
    <n v="4172"/>
    <n v="5008"/>
    <x v="11"/>
  </r>
  <r>
    <x v="60"/>
    <d v="2021-12-05T00:00:00"/>
    <n v="5"/>
    <s v="December"/>
    <n v="2021"/>
    <n v="37"/>
    <x v="1"/>
    <x v="0"/>
    <x v="5"/>
    <x v="14"/>
    <x v="0"/>
    <x v="0"/>
    <x v="10"/>
    <n v="1"/>
    <n v="1252"/>
    <n v="2295"/>
    <n v="1043"/>
    <n v="1252"/>
    <x v="3"/>
  </r>
  <r>
    <x v="61"/>
    <d v="2021-12-07T00:00:00"/>
    <n v="7"/>
    <s v="December"/>
    <n v="2021"/>
    <n v="30"/>
    <x v="0"/>
    <x v="1"/>
    <x v="5"/>
    <x v="14"/>
    <x v="0"/>
    <x v="0"/>
    <x v="6"/>
    <n v="4"/>
    <n v="420"/>
    <n v="769"/>
    <n v="1396"/>
    <n v="1680"/>
    <x v="1"/>
  </r>
  <r>
    <x v="62"/>
    <d v="2021-12-07T00:00:00"/>
    <n v="7"/>
    <s v="December"/>
    <n v="2021"/>
    <n v="38"/>
    <x v="1"/>
    <x v="1"/>
    <x v="5"/>
    <x v="14"/>
    <x v="0"/>
    <x v="0"/>
    <x v="7"/>
    <n v="2"/>
    <n v="1266"/>
    <n v="2320"/>
    <n v="2108"/>
    <n v="2532"/>
    <x v="18"/>
  </r>
  <r>
    <x v="63"/>
    <d v="2021-12-08T00:00:00"/>
    <n v="8"/>
    <s v="December"/>
    <n v="2021"/>
    <n v="39"/>
    <x v="1"/>
    <x v="0"/>
    <x v="5"/>
    <x v="15"/>
    <x v="0"/>
    <x v="0"/>
    <x v="14"/>
    <n v="2"/>
    <n v="1252"/>
    <n v="2295"/>
    <n v="2086"/>
    <n v="2504"/>
    <x v="6"/>
  </r>
  <r>
    <x v="64"/>
    <d v="2021-12-08T00:00:00"/>
    <n v="8"/>
    <s v="December"/>
    <n v="2021"/>
    <n v="35"/>
    <x v="1"/>
    <x v="0"/>
    <x v="5"/>
    <x v="14"/>
    <x v="0"/>
    <x v="0"/>
    <x v="14"/>
    <n v="1"/>
    <n v="295"/>
    <n v="540"/>
    <n v="245"/>
    <n v="295"/>
    <x v="19"/>
  </r>
  <r>
    <x v="65"/>
    <d v="2021-12-10T00:00:00"/>
    <n v="10"/>
    <s v="December"/>
    <n v="2021"/>
    <n v="34"/>
    <x v="0"/>
    <x v="0"/>
    <x v="5"/>
    <x v="14"/>
    <x v="0"/>
    <x v="0"/>
    <x v="2"/>
    <n v="2"/>
    <n v="1252"/>
    <n v="2295"/>
    <n v="2086"/>
    <n v="2504"/>
    <x v="6"/>
  </r>
  <r>
    <x v="66"/>
    <d v="2021-12-10T00:00:00"/>
    <n v="10"/>
    <s v="December"/>
    <n v="2021"/>
    <n v="34"/>
    <x v="0"/>
    <x v="1"/>
    <x v="5"/>
    <x v="14"/>
    <x v="0"/>
    <x v="0"/>
    <x v="11"/>
    <n v="1"/>
    <n v="295"/>
    <n v="540"/>
    <n v="245"/>
    <n v="295"/>
    <x v="19"/>
  </r>
  <r>
    <x v="67"/>
    <d v="2021-12-10T00:00:00"/>
    <n v="10"/>
    <s v="December"/>
    <n v="2021"/>
    <n v="34"/>
    <x v="0"/>
    <x v="0"/>
    <x v="5"/>
    <x v="16"/>
    <x v="0"/>
    <x v="0"/>
    <x v="15"/>
    <n v="1"/>
    <n v="1912"/>
    <n v="3400"/>
    <n v="1488"/>
    <n v="1912"/>
    <x v="20"/>
  </r>
  <r>
    <x v="68"/>
    <d v="2021-12-11T00:00:00"/>
    <n v="11"/>
    <s v="December"/>
    <n v="2021"/>
    <n v="37"/>
    <x v="1"/>
    <x v="1"/>
    <x v="5"/>
    <x v="14"/>
    <x v="0"/>
    <x v="0"/>
    <x v="8"/>
    <n v="1"/>
    <n v="420"/>
    <n v="769"/>
    <n v="349"/>
    <n v="420"/>
    <x v="0"/>
  </r>
  <r>
    <x v="69"/>
    <d v="2021-12-11T00:00:00"/>
    <n v="11"/>
    <s v="December"/>
    <n v="2021"/>
    <n v="38"/>
    <x v="1"/>
    <x v="0"/>
    <x v="5"/>
    <x v="14"/>
    <x v="0"/>
    <x v="0"/>
    <x v="1"/>
    <n v="1"/>
    <n v="1266"/>
    <n v="2320"/>
    <n v="1054"/>
    <n v="1266"/>
    <x v="2"/>
  </r>
  <r>
    <x v="70"/>
    <d v="2021-12-12T00:00:00"/>
    <n v="12"/>
    <s v="December"/>
    <n v="2021"/>
    <n v="37"/>
    <x v="1"/>
    <x v="1"/>
    <x v="5"/>
    <x v="14"/>
    <x v="0"/>
    <x v="0"/>
    <x v="8"/>
    <n v="4"/>
    <n v="420"/>
    <n v="769"/>
    <n v="1396"/>
    <n v="1680"/>
    <x v="1"/>
  </r>
  <r>
    <x v="71"/>
    <d v="2021-12-12T00:00:00"/>
    <n v="12"/>
    <s v="December"/>
    <n v="2021"/>
    <n v="38"/>
    <x v="1"/>
    <x v="0"/>
    <x v="5"/>
    <x v="16"/>
    <x v="0"/>
    <x v="0"/>
    <x v="7"/>
    <n v="1"/>
    <n v="1266"/>
    <n v="2320"/>
    <n v="1054"/>
    <n v="1266"/>
    <x v="2"/>
  </r>
  <r>
    <x v="72"/>
    <d v="2021-12-13T00:00:00"/>
    <n v="13"/>
    <s v="December"/>
    <n v="2021"/>
    <n v="40"/>
    <x v="1"/>
    <x v="0"/>
    <x v="5"/>
    <x v="14"/>
    <x v="0"/>
    <x v="0"/>
    <x v="16"/>
    <n v="1"/>
    <n v="308"/>
    <n v="565"/>
    <n v="257"/>
    <n v="308"/>
    <x v="14"/>
  </r>
  <r>
    <x v="73"/>
    <d v="2021-12-14T00:00:00"/>
    <n v="14"/>
    <s v="December"/>
    <n v="2021"/>
    <n v="30"/>
    <x v="0"/>
    <x v="0"/>
    <x v="5"/>
    <x v="16"/>
    <x v="0"/>
    <x v="0"/>
    <x v="1"/>
    <n v="2"/>
    <n v="1266"/>
    <n v="2320"/>
    <n v="2108"/>
    <n v="2532"/>
    <x v="18"/>
  </r>
  <r>
    <x v="74"/>
    <d v="2021-12-14T00:00:00"/>
    <n v="14"/>
    <s v="December"/>
    <n v="2021"/>
    <n v="32"/>
    <x v="0"/>
    <x v="1"/>
    <x v="5"/>
    <x v="14"/>
    <x v="0"/>
    <x v="0"/>
    <x v="10"/>
    <n v="1"/>
    <n v="1252"/>
    <n v="2295"/>
    <n v="1043"/>
    <n v="1252"/>
    <x v="3"/>
  </r>
  <r>
    <x v="75"/>
    <d v="2021-12-15T00:00:00"/>
    <n v="15"/>
    <s v="December"/>
    <n v="2021"/>
    <n v="29"/>
    <x v="0"/>
    <x v="0"/>
    <x v="5"/>
    <x v="14"/>
    <x v="0"/>
    <x v="0"/>
    <x v="7"/>
    <n v="1"/>
    <n v="1266"/>
    <n v="2320"/>
    <n v="1054"/>
    <n v="1266"/>
    <x v="2"/>
  </r>
  <r>
    <x v="76"/>
    <d v="2021-12-17T00:00:00"/>
    <n v="17"/>
    <s v="December"/>
    <n v="2021"/>
    <n v="37"/>
    <x v="1"/>
    <x v="0"/>
    <x v="5"/>
    <x v="16"/>
    <x v="0"/>
    <x v="0"/>
    <x v="1"/>
    <n v="2"/>
    <n v="1266"/>
    <n v="2320"/>
    <n v="2108"/>
    <n v="2532"/>
    <x v="18"/>
  </r>
  <r>
    <x v="77"/>
    <d v="2021-12-18T00:00:00"/>
    <n v="18"/>
    <s v="December"/>
    <n v="2021"/>
    <n v="39"/>
    <x v="1"/>
    <x v="1"/>
    <x v="5"/>
    <x v="14"/>
    <x v="0"/>
    <x v="0"/>
    <x v="2"/>
    <n v="3"/>
    <n v="1252"/>
    <n v="2295"/>
    <n v="3129"/>
    <n v="3756"/>
    <x v="16"/>
  </r>
  <r>
    <x v="78"/>
    <d v="2021-12-18T00:00:00"/>
    <n v="18"/>
    <s v="December"/>
    <n v="2021"/>
    <n v="36"/>
    <x v="1"/>
    <x v="1"/>
    <x v="5"/>
    <x v="16"/>
    <x v="0"/>
    <x v="0"/>
    <x v="1"/>
    <n v="1"/>
    <n v="1266"/>
    <n v="2320"/>
    <n v="1054"/>
    <n v="1266"/>
    <x v="2"/>
  </r>
  <r>
    <x v="79"/>
    <d v="2021-12-19T00:00:00"/>
    <n v="19"/>
    <s v="December"/>
    <n v="2021"/>
    <n v="35"/>
    <x v="1"/>
    <x v="0"/>
    <x v="5"/>
    <x v="15"/>
    <x v="0"/>
    <x v="0"/>
    <x v="17"/>
    <n v="4"/>
    <n v="1898"/>
    <n v="3375"/>
    <n v="5908"/>
    <n v="7592"/>
    <x v="13"/>
  </r>
  <r>
    <x v="80"/>
    <d v="2021-12-19T00:00:00"/>
    <n v="19"/>
    <s v="December"/>
    <n v="2021"/>
    <n v="37"/>
    <x v="1"/>
    <x v="1"/>
    <x v="5"/>
    <x v="15"/>
    <x v="0"/>
    <x v="0"/>
    <x v="5"/>
    <n v="4"/>
    <n v="1252"/>
    <n v="2295"/>
    <n v="4172"/>
    <n v="5008"/>
    <x v="11"/>
  </r>
  <r>
    <x v="81"/>
    <d v="2021-12-19T00:00:00"/>
    <n v="19"/>
    <s v="December"/>
    <n v="2021"/>
    <n v="39"/>
    <x v="1"/>
    <x v="0"/>
    <x v="5"/>
    <x v="14"/>
    <x v="0"/>
    <x v="0"/>
    <x v="10"/>
    <n v="4"/>
    <n v="1252"/>
    <n v="2295"/>
    <n v="4172"/>
    <n v="5008"/>
    <x v="11"/>
  </r>
  <r>
    <x v="82"/>
    <d v="2021-12-19T00:00:00"/>
    <n v="19"/>
    <s v="December"/>
    <n v="2021"/>
    <n v="39"/>
    <x v="1"/>
    <x v="0"/>
    <x v="5"/>
    <x v="16"/>
    <x v="0"/>
    <x v="0"/>
    <x v="1"/>
    <n v="1"/>
    <n v="1266"/>
    <n v="2320"/>
    <n v="1054"/>
    <n v="1266"/>
    <x v="2"/>
  </r>
  <r>
    <x v="83"/>
    <d v="2021-12-22T00:00:00"/>
    <n v="22"/>
    <s v="December"/>
    <n v="2021"/>
    <n v="30"/>
    <x v="0"/>
    <x v="0"/>
    <x v="5"/>
    <x v="16"/>
    <x v="0"/>
    <x v="0"/>
    <x v="1"/>
    <n v="3"/>
    <n v="1266"/>
    <n v="2320"/>
    <n v="3162"/>
    <n v="3798"/>
    <x v="9"/>
  </r>
  <r>
    <x v="84"/>
    <d v="2021-12-22T00:00:00"/>
    <n v="22"/>
    <s v="December"/>
    <n v="2021"/>
    <n v="41"/>
    <x v="1"/>
    <x v="1"/>
    <x v="5"/>
    <x v="14"/>
    <x v="0"/>
    <x v="0"/>
    <x v="2"/>
    <n v="3"/>
    <n v="1252"/>
    <n v="2295"/>
    <n v="3129"/>
    <n v="3756"/>
    <x v="16"/>
  </r>
  <r>
    <x v="85"/>
    <d v="2021-12-23T00:00:00"/>
    <n v="23"/>
    <s v="December"/>
    <n v="2021"/>
    <n v="30"/>
    <x v="0"/>
    <x v="0"/>
    <x v="5"/>
    <x v="15"/>
    <x v="0"/>
    <x v="0"/>
    <x v="7"/>
    <n v="1"/>
    <n v="1266"/>
    <n v="2320"/>
    <n v="1054"/>
    <n v="1266"/>
    <x v="2"/>
  </r>
  <r>
    <x v="86"/>
    <d v="2021-12-23T00:00:00"/>
    <n v="23"/>
    <s v="December"/>
    <n v="2021"/>
    <n v="35"/>
    <x v="1"/>
    <x v="0"/>
    <x v="5"/>
    <x v="14"/>
    <x v="0"/>
    <x v="0"/>
    <x v="14"/>
    <n v="1"/>
    <n v="295"/>
    <n v="540"/>
    <n v="245"/>
    <n v="295"/>
    <x v="19"/>
  </r>
  <r>
    <x v="87"/>
    <d v="2021-12-03T00:00:00"/>
    <n v="3"/>
    <s v="December"/>
    <n v="2021"/>
    <n v="37"/>
    <x v="1"/>
    <x v="1"/>
    <x v="5"/>
    <x v="16"/>
    <x v="0"/>
    <x v="0"/>
    <x v="10"/>
    <n v="1"/>
    <n v="1252"/>
    <n v="2295"/>
    <n v="1043"/>
    <n v="125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25C7B-8C60-4CC8-939D-BE34F1B2EA24}" name="PivotTable1" cacheId="5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6">
  <location ref="A3:I40" firstHeaderRow="1" firstDataRow="2" firstDataCol="2"/>
  <pivotFields count="19">
    <pivotField compact="0" outline="0" showAll="0">
      <items count="89">
        <item x="47"/>
        <item x="57"/>
        <item x="58"/>
        <item x="0"/>
        <item x="56"/>
        <item x="48"/>
        <item x="87"/>
        <item x="1"/>
        <item x="59"/>
        <item x="41"/>
        <item x="2"/>
        <item x="60"/>
        <item x="49"/>
        <item x="27"/>
        <item x="3"/>
        <item x="50"/>
        <item x="61"/>
        <item x="62"/>
        <item x="4"/>
        <item x="28"/>
        <item x="63"/>
        <item x="64"/>
        <item x="5"/>
        <item x="42"/>
        <item x="65"/>
        <item x="6"/>
        <item x="51"/>
        <item x="66"/>
        <item x="67"/>
        <item x="7"/>
        <item x="33"/>
        <item x="8"/>
        <item x="29"/>
        <item x="68"/>
        <item x="69"/>
        <item x="9"/>
        <item x="70"/>
        <item x="10"/>
        <item x="11"/>
        <item x="71"/>
        <item x="12"/>
        <item x="72"/>
        <item x="52"/>
        <item x="53"/>
        <item x="73"/>
        <item x="74"/>
        <item x="13"/>
        <item x="75"/>
        <item x="14"/>
        <item x="15"/>
        <item x="34"/>
        <item x="76"/>
        <item x="16"/>
        <item x="43"/>
        <item x="17"/>
        <item x="44"/>
        <item x="35"/>
        <item x="54"/>
        <item x="77"/>
        <item x="36"/>
        <item x="78"/>
        <item x="37"/>
        <item x="18"/>
        <item x="38"/>
        <item x="79"/>
        <item x="80"/>
        <item x="81"/>
        <item x="19"/>
        <item x="20"/>
        <item x="45"/>
        <item x="82"/>
        <item x="21"/>
        <item x="22"/>
        <item x="30"/>
        <item x="23"/>
        <item x="24"/>
        <item x="39"/>
        <item x="55"/>
        <item x="83"/>
        <item x="84"/>
        <item x="25"/>
        <item x="40"/>
        <item x="31"/>
        <item x="46"/>
        <item x="85"/>
        <item x="32"/>
        <item x="86"/>
        <item x="26"/>
        <item t="default"/>
      </items>
    </pivotField>
    <pivotField compact="0" numFmtId="14" outline="0" showAll="0">
      <items count="25">
        <item x="20"/>
        <item x="0"/>
        <item x="21"/>
        <item x="1"/>
        <item x="2"/>
        <item x="3"/>
        <item x="22"/>
        <item x="4"/>
        <item x="5"/>
        <item x="6"/>
        <item x="7"/>
        <item x="8"/>
        <item x="9"/>
        <item x="10"/>
        <item x="23"/>
        <item x="11"/>
        <item x="12"/>
        <item x="13"/>
        <item x="14"/>
        <item x="15"/>
        <item x="19"/>
        <item x="16"/>
        <item x="18"/>
        <item x="17"/>
        <item t="default"/>
      </items>
    </pivotField>
    <pivotField compact="0" outline="0" showAll="0">
      <items count="26">
        <item x="21"/>
        <item x="0"/>
        <item x="22"/>
        <item x="1"/>
        <item x="2"/>
        <item x="3"/>
        <item x="23"/>
        <item x="4"/>
        <item x="5"/>
        <item x="6"/>
        <item x="7"/>
        <item x="8"/>
        <item x="9"/>
        <item x="10"/>
        <item x="24"/>
        <item x="11"/>
        <item x="12"/>
        <item x="13"/>
        <item x="14"/>
        <item x="15"/>
        <item x="19"/>
        <item x="16"/>
        <item x="18"/>
        <item x="17"/>
        <item x="2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x="2"/>
        <item x="0"/>
        <item x="1"/>
        <item t="default"/>
      </items>
    </pivotField>
    <pivotField compact="0" outline="0" showAll="0" sortType="ascending">
      <items count="3">
        <item x="0"/>
        <item x="1"/>
        <item t="default"/>
      </items>
    </pivotField>
    <pivotField axis="axisCol" compact="0" outline="0" showAll="0">
      <items count="9">
        <item x="0"/>
        <item x="1"/>
        <item x="2"/>
        <item x="3"/>
        <item m="1" x="7"/>
        <item x="4"/>
        <item x="5"/>
        <item m="1" x="6"/>
        <item t="default"/>
      </items>
    </pivotField>
    <pivotField compact="0" outline="0" showAll="0">
      <items count="18">
        <item x="4"/>
        <item x="14"/>
        <item x="13"/>
        <item x="11"/>
        <item x="12"/>
        <item x="0"/>
        <item x="8"/>
        <item x="10"/>
        <item x="15"/>
        <item x="1"/>
        <item x="5"/>
        <item x="6"/>
        <item x="7"/>
        <item x="9"/>
        <item x="3"/>
        <item x="2"/>
        <item x="16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axis="axisRow" compact="0" outline="0" showAll="0">
      <items count="19">
        <item x="4"/>
        <item x="17"/>
        <item x="15"/>
        <item x="5"/>
        <item x="2"/>
        <item x="10"/>
        <item x="1"/>
        <item x="7"/>
        <item x="13"/>
        <item x="6"/>
        <item x="0"/>
        <item x="8"/>
        <item x="11"/>
        <item x="14"/>
        <item x="9"/>
        <item x="12"/>
        <item x="16"/>
        <item x="3"/>
        <item t="default"/>
      </items>
    </pivotField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12"/>
  </rowFields>
  <rowItems count="36">
    <i>
      <x/>
      <x v="3"/>
    </i>
    <i r="1">
      <x v="6"/>
    </i>
    <i r="1">
      <x v="8"/>
    </i>
    <i r="1">
      <x v="11"/>
    </i>
    <i r="1">
      <x v="12"/>
    </i>
    <i r="1">
      <x v="14"/>
    </i>
    <i r="1">
      <x v="17"/>
    </i>
    <i t="default">
      <x/>
    </i>
    <i>
      <x v="1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t="default">
      <x v="1"/>
    </i>
    <i>
      <x v="2"/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3"/>
    </i>
    <i r="1">
      <x v="16"/>
    </i>
    <i r="1">
      <x v="17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dataFields count="1">
    <dataField name="Sum of Order_Quantity" fld="13" baseField="0" baseItem="0"/>
  </dataFields>
  <formats count="1">
    <format dxfId="22">
      <pivotArea outline="0" collapsedLevelsAreSubtotals="1" fieldPosition="0"/>
    </format>
  </formats>
  <chartFormats count="6">
    <chartFormat chart="0" format="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8F759-11E1-49F8-B04A-28F1CCB6FD6E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59" firstHeaderRow="1" firstDataRow="1" firstDataCol="4"/>
  <pivotFields count="19">
    <pivotField dataField="1" compact="0" outline="0" showAll="0">
      <items count="89">
        <item x="47"/>
        <item x="57"/>
        <item x="58"/>
        <item x="0"/>
        <item x="56"/>
        <item x="48"/>
        <item x="87"/>
        <item x="1"/>
        <item x="59"/>
        <item x="41"/>
        <item x="2"/>
        <item x="60"/>
        <item x="49"/>
        <item x="27"/>
        <item x="3"/>
        <item x="50"/>
        <item x="61"/>
        <item x="62"/>
        <item x="4"/>
        <item x="28"/>
        <item x="63"/>
        <item x="64"/>
        <item x="5"/>
        <item x="42"/>
        <item x="65"/>
        <item x="6"/>
        <item x="51"/>
        <item x="66"/>
        <item x="67"/>
        <item x="7"/>
        <item x="33"/>
        <item x="8"/>
        <item x="29"/>
        <item x="68"/>
        <item x="69"/>
        <item x="9"/>
        <item x="70"/>
        <item x="10"/>
        <item x="11"/>
        <item x="71"/>
        <item x="12"/>
        <item x="72"/>
        <item x="52"/>
        <item x="53"/>
        <item x="73"/>
        <item x="74"/>
        <item x="13"/>
        <item x="75"/>
        <item x="14"/>
        <item x="15"/>
        <item x="34"/>
        <item x="76"/>
        <item x="16"/>
        <item x="43"/>
        <item x="17"/>
        <item x="44"/>
        <item x="35"/>
        <item x="54"/>
        <item x="77"/>
        <item x="36"/>
        <item x="78"/>
        <item x="37"/>
        <item x="18"/>
        <item x="38"/>
        <item x="79"/>
        <item x="80"/>
        <item x="81"/>
        <item x="19"/>
        <item x="20"/>
        <item x="45"/>
        <item x="82"/>
        <item x="21"/>
        <item x="22"/>
        <item x="30"/>
        <item x="23"/>
        <item x="24"/>
        <item x="39"/>
        <item x="55"/>
        <item x="83"/>
        <item x="84"/>
        <item x="25"/>
        <item x="40"/>
        <item x="31"/>
        <item x="46"/>
        <item x="85"/>
        <item x="32"/>
        <item x="86"/>
        <item x="26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18">
        <item x="4"/>
        <item x="14"/>
        <item x="13"/>
        <item x="11"/>
        <item x="12"/>
        <item x="0"/>
        <item x="8"/>
        <item x="10"/>
        <item x="15"/>
        <item x="1"/>
        <item x="5"/>
        <item x="6"/>
        <item x="7"/>
        <item x="9"/>
        <item x="3"/>
        <item x="2"/>
        <item x="16"/>
        <item t="default"/>
      </items>
    </pivotField>
    <pivotField compact="0" outline="0" showAll="0">
      <items count="2">
        <item x="0"/>
        <item t="default"/>
      </items>
    </pivotField>
    <pivotField axis="axisRow" compact="0" outline="0" showAll="0">
      <items count="2">
        <item x="0"/>
        <item t="default"/>
      </items>
    </pivotField>
    <pivotField axis="axisRow" compact="0" outline="0" showAll="0" sortType="ascending">
      <items count="19">
        <item x="4"/>
        <item x="17"/>
        <item x="15"/>
        <item x="5"/>
        <item x="2"/>
        <item x="10"/>
        <item x="1"/>
        <item x="7"/>
        <item x="13"/>
        <item x="6"/>
        <item x="0"/>
        <item x="8"/>
        <item x="11"/>
        <item x="14"/>
        <item x="9"/>
        <item x="12"/>
        <item x="16"/>
        <item x="3"/>
        <item t="default"/>
      </items>
    </pivotField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>
      <items count="22">
        <item x="19"/>
        <item x="14"/>
        <item x="0"/>
        <item x="12"/>
        <item x="7"/>
        <item x="15"/>
        <item x="10"/>
        <item x="4"/>
        <item x="3"/>
        <item x="17"/>
        <item x="2"/>
        <item x="1"/>
        <item x="20"/>
        <item x="6"/>
        <item x="18"/>
        <item x="5"/>
        <item x="16"/>
        <item x="9"/>
        <item x="11"/>
        <item x="8"/>
        <item x="13"/>
        <item t="default"/>
      </items>
    </pivotField>
  </pivotFields>
  <rowFields count="4">
    <field x="6"/>
    <field x="7"/>
    <field x="11"/>
    <field x="12"/>
  </rowFields>
  <rowItems count="56">
    <i>
      <x/>
      <x/>
      <x/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3"/>
    </i>
    <i r="3">
      <x v="16"/>
    </i>
    <i r="3">
      <x v="17"/>
    </i>
    <i t="default" r="2">
      <x/>
    </i>
    <i t="default" r="1">
      <x/>
    </i>
    <i r="1">
      <x v="1"/>
      <x/>
      <x v="3"/>
    </i>
    <i r="3">
      <x v="4"/>
    </i>
    <i r="3">
      <x v="5"/>
    </i>
    <i r="3">
      <x v="6"/>
    </i>
    <i r="3">
      <x v="7"/>
    </i>
    <i r="3">
      <x v="11"/>
    </i>
    <i t="default" r="2">
      <x/>
    </i>
    <i t="default" r="1">
      <x v="1"/>
    </i>
    <i t="default">
      <x/>
    </i>
    <i>
      <x v="1"/>
      <x/>
      <x/>
      <x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0"/>
    </i>
    <i r="3">
      <x v="11"/>
    </i>
    <i t="default" r="2">
      <x/>
    </i>
    <i t="default" r="1">
      <x/>
    </i>
    <i r="1">
      <x v="1"/>
      <x/>
      <x v="3"/>
    </i>
    <i r="3">
      <x v="5"/>
    </i>
    <i r="3">
      <x v="6"/>
    </i>
    <i r="3">
      <x v="9"/>
    </i>
    <i r="3">
      <x v="10"/>
    </i>
    <i r="3">
      <x v="12"/>
    </i>
    <i r="3">
      <x v="15"/>
    </i>
    <i t="default" r="2">
      <x/>
    </i>
    <i t="default" r="1">
      <x v="1"/>
    </i>
    <i t="default">
      <x v="1"/>
    </i>
    <i>
      <x v="2"/>
      <x/>
      <x/>
      <x v="3"/>
    </i>
    <i r="3">
      <x v="6"/>
    </i>
    <i r="3">
      <x v="14"/>
    </i>
    <i r="3">
      <x v="17"/>
    </i>
    <i t="default" r="2">
      <x/>
    </i>
    <i t="default" r="1">
      <x/>
    </i>
    <i r="1">
      <x v="1"/>
      <x/>
      <x v="8"/>
    </i>
    <i r="3">
      <x v="11"/>
    </i>
    <i r="3">
      <x v="12"/>
    </i>
    <i t="default" r="2">
      <x/>
    </i>
    <i t="default" r="1">
      <x v="1"/>
    </i>
    <i t="default">
      <x v="2"/>
    </i>
    <i t="grand">
      <x/>
    </i>
  </rowItems>
  <colItems count="1">
    <i/>
  </colItems>
  <dataFields count="1">
    <dataField name="Count of Sales_Order #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7770A-F6D4-4553-8D93-F54179027A90}" name="Table1" displayName="Table1" ref="A1:S89" totalsRowShown="0" headerRowDxfId="21" dataDxfId="20" tableBorderDxfId="19">
  <autoFilter ref="A1:S89" xr:uid="{8997770A-F6D4-4553-8D93-F54179027A90}"/>
  <tableColumns count="19">
    <tableColumn id="1" xr3:uid="{D52D2DBE-C9D3-4AA6-8056-C63C0ED8B13D}" name="Sales_Order #" dataDxfId="18"/>
    <tableColumn id="2" xr3:uid="{62F1D50B-F1C9-464E-9734-A8B03ABEBA64}" name="Date" dataDxfId="17"/>
    <tableColumn id="3" xr3:uid="{9793CDEF-35B3-4B99-A784-5C5EC527B288}" name="Day" dataDxfId="16"/>
    <tableColumn id="4" xr3:uid="{2C05D422-766E-45B1-8494-BF97FE8C6AEB}" name="Month" dataDxfId="15"/>
    <tableColumn id="5" xr3:uid="{7F614F33-327B-468B-B117-9C9D8813E7C3}" name="Year" dataDxfId="14"/>
    <tableColumn id="6" xr3:uid="{CAEBEABE-E7F0-49C4-8945-BAA157DBC7BE}" name="Customer_Age" dataDxfId="13"/>
    <tableColumn id="7" xr3:uid="{7BD83585-D344-4421-9F26-033E338F4281}" name="Age_Group" dataDxfId="12"/>
    <tableColumn id="8" xr3:uid="{000B26D0-803F-4AD9-ACCB-88AC4474D85E}" name="Customer_Gender" dataDxfId="11"/>
    <tableColumn id="9" xr3:uid="{789DDC33-6119-47DE-8258-21C337D5E959}" name="Country" dataDxfId="10"/>
    <tableColumn id="10" xr3:uid="{A655897A-1D0B-4246-8A63-519515C2695D}" name="State" dataDxfId="9"/>
    <tableColumn id="11" xr3:uid="{39A22539-9046-4DAE-AAFE-C7AFA68C3562}" name="Product_Category" dataDxfId="8"/>
    <tableColumn id="12" xr3:uid="{1B9C0193-BCC6-4CBA-9BD2-87AA306AEE2A}" name="Sub_Category" dataDxfId="7"/>
    <tableColumn id="13" xr3:uid="{F6CDF3FC-5FDB-4F81-9F4E-837318BB68B1}" name="Product_Description" dataDxfId="6"/>
    <tableColumn id="14" xr3:uid="{8BC12247-0214-4159-8C31-00DE8378E936}" name="Order_Quantity" dataDxfId="5"/>
    <tableColumn id="15" xr3:uid="{1076C3D7-1E58-4D94-8A4A-E83C7BADDF13}" name=" Unit_Cost " dataDxfId="4"/>
    <tableColumn id="16" xr3:uid="{9FC4345D-A6EB-40CA-A525-FC4CE81FE170}" name=" Unit_Price " dataDxfId="3"/>
    <tableColumn id="17" xr3:uid="{A6103367-4294-478A-BAFC-C14C78687FE3}" name=" Profit " dataDxfId="2"/>
    <tableColumn id="18" xr3:uid="{E6AE4767-0459-46D6-8F04-71A925C513F0}" name=" Cost " dataDxfId="1">
      <calculatedColumnFormula>N2*O2</calculatedColumnFormula>
    </tableColumn>
    <tableColumn id="19" xr3:uid="{B407657E-9600-47A7-8F93-14B9B1B3C4D5}" name="Revenue" dataDxfId="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4A17-442D-4477-8925-9CB8A355920B}">
  <dimension ref="A3:I40"/>
  <sheetViews>
    <sheetView tabSelected="1" topLeftCell="X12" workbookViewId="0">
      <selection activeCell="J6" sqref="J6"/>
    </sheetView>
  </sheetViews>
  <sheetFormatPr defaultRowHeight="15"/>
  <cols>
    <col min="1" max="1" width="19.7109375" bestFit="1" customWidth="1"/>
    <col min="2" max="2" width="2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13" width="11.7109375" bestFit="1" customWidth="1"/>
    <col min="14" max="14" width="13.28515625" bestFit="1" customWidth="1"/>
    <col min="15" max="15" width="25.140625" bestFit="1" customWidth="1"/>
    <col min="16" max="16" width="15.7109375" bestFit="1" customWidth="1"/>
    <col min="17" max="17" width="9.28515625" bestFit="1" customWidth="1"/>
    <col min="18" max="18" width="15.7109375" bestFit="1" customWidth="1"/>
    <col min="19" max="19" width="13.28515625" bestFit="1" customWidth="1"/>
    <col min="20" max="20" width="19" bestFit="1" customWidth="1"/>
    <col min="21" max="21" width="11.7109375" bestFit="1" customWidth="1"/>
    <col min="22" max="22" width="7" bestFit="1" customWidth="1"/>
    <col min="23" max="23" width="15.7109375" bestFit="1" customWidth="1"/>
    <col min="24" max="24" width="16.7109375" bestFit="1" customWidth="1"/>
    <col min="25" max="25" width="22" bestFit="1" customWidth="1"/>
    <col min="26" max="26" width="7.7109375" bestFit="1" customWidth="1"/>
    <col min="27" max="27" width="7" bestFit="1" customWidth="1"/>
    <col min="28" max="28" width="15.7109375" bestFit="1" customWidth="1"/>
    <col min="29" max="29" width="13.28515625" bestFit="1" customWidth="1"/>
    <col min="30" max="30" width="25.140625" bestFit="1" customWidth="1"/>
    <col min="31" max="31" width="15.7109375" bestFit="1" customWidth="1"/>
    <col min="32" max="32" width="9.28515625" bestFit="1" customWidth="1"/>
    <col min="33" max="33" width="15.7109375" bestFit="1" customWidth="1"/>
    <col min="34" max="34" width="13.28515625" bestFit="1" customWidth="1"/>
    <col min="35" max="35" width="19" bestFit="1" customWidth="1"/>
    <col min="36" max="36" width="8" bestFit="1" customWidth="1"/>
    <col min="37" max="37" width="11.7109375" bestFit="1" customWidth="1"/>
    <col min="38" max="38" width="15.7109375" bestFit="1" customWidth="1"/>
    <col min="39" max="39" width="16.7109375" bestFit="1" customWidth="1"/>
    <col min="40" max="40" width="22" bestFit="1" customWidth="1"/>
    <col min="41" max="41" width="7.7109375" bestFit="1" customWidth="1"/>
    <col min="42" max="42" width="7" bestFit="1" customWidth="1"/>
    <col min="43" max="43" width="15.7109375" bestFit="1" customWidth="1"/>
    <col min="44" max="44" width="13.28515625" bestFit="1" customWidth="1"/>
    <col min="45" max="45" width="25.140625" bestFit="1" customWidth="1"/>
    <col min="46" max="46" width="15.7109375" bestFit="1" customWidth="1"/>
    <col min="47" max="47" width="9.28515625" bestFit="1" customWidth="1"/>
    <col min="48" max="48" width="15.7109375" bestFit="1" customWidth="1"/>
    <col min="49" max="49" width="13.28515625" bestFit="1" customWidth="1"/>
    <col min="50" max="50" width="19" bestFit="1" customWidth="1"/>
    <col min="51" max="51" width="13.5703125" bestFit="1" customWidth="1"/>
    <col min="52" max="52" width="7" bestFit="1" customWidth="1"/>
    <col min="53" max="53" width="15.7109375" bestFit="1" customWidth="1"/>
    <col min="54" max="54" width="16.7109375" bestFit="1" customWidth="1"/>
    <col min="55" max="55" width="22" bestFit="1" customWidth="1"/>
    <col min="56" max="56" width="7.7109375" bestFit="1" customWidth="1"/>
    <col min="57" max="57" width="7" bestFit="1" customWidth="1"/>
    <col min="58" max="58" width="15.7109375" bestFit="1" customWidth="1"/>
    <col min="59" max="59" width="13.28515625" bestFit="1" customWidth="1"/>
    <col min="60" max="60" width="25.140625" bestFit="1" customWidth="1"/>
    <col min="61" max="61" width="15.7109375" bestFit="1" customWidth="1"/>
    <col min="62" max="62" width="9.28515625" bestFit="1" customWidth="1"/>
    <col min="63" max="63" width="15.7109375" bestFit="1" customWidth="1"/>
    <col min="64" max="64" width="13.28515625" bestFit="1" customWidth="1"/>
    <col min="65" max="65" width="19" bestFit="1" customWidth="1"/>
    <col min="66" max="66" width="24.7109375" bestFit="1" customWidth="1"/>
    <col min="67" max="67" width="13.7109375" bestFit="1" customWidth="1"/>
    <col min="68" max="68" width="27.5703125" bestFit="1" customWidth="1"/>
    <col min="69" max="70" width="16.42578125" bestFit="1" customWidth="1"/>
  </cols>
  <sheetData>
    <row r="3" spans="1:9">
      <c r="A3" s="3" t="s">
        <v>0</v>
      </c>
      <c r="C3" s="3" t="s">
        <v>1</v>
      </c>
    </row>
    <row r="4" spans="1:9">
      <c r="A4" s="3" t="s">
        <v>2</v>
      </c>
      <c r="B4" s="3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9">
        <v>0</v>
      </c>
      <c r="D5" s="19">
        <v>0</v>
      </c>
      <c r="E5" s="19">
        <v>3</v>
      </c>
      <c r="F5" s="19">
        <v>0</v>
      </c>
      <c r="G5" s="19">
        <v>1</v>
      </c>
      <c r="H5" s="19">
        <v>0</v>
      </c>
      <c r="I5" s="19">
        <v>4</v>
      </c>
    </row>
    <row r="6" spans="1:9">
      <c r="B6" t="s">
        <v>13</v>
      </c>
      <c r="C6" s="19">
        <v>0</v>
      </c>
      <c r="D6" s="19">
        <v>0</v>
      </c>
      <c r="E6" s="19">
        <v>3</v>
      </c>
      <c r="F6" s="19">
        <v>0</v>
      </c>
      <c r="G6" s="19">
        <v>0</v>
      </c>
      <c r="H6" s="19">
        <v>0</v>
      </c>
      <c r="I6" s="19">
        <v>3</v>
      </c>
    </row>
    <row r="7" spans="1:9">
      <c r="B7" t="s">
        <v>14</v>
      </c>
      <c r="C7" s="19">
        <v>0</v>
      </c>
      <c r="D7" s="19">
        <v>0</v>
      </c>
      <c r="E7" s="19">
        <v>4</v>
      </c>
      <c r="F7" s="19">
        <v>0</v>
      </c>
      <c r="G7" s="19">
        <v>0</v>
      </c>
      <c r="H7" s="19">
        <v>0</v>
      </c>
      <c r="I7" s="19">
        <v>4</v>
      </c>
    </row>
    <row r="8" spans="1:9">
      <c r="B8" t="s">
        <v>15</v>
      </c>
      <c r="C8" s="19">
        <v>0</v>
      </c>
      <c r="D8" s="19">
        <v>0</v>
      </c>
      <c r="E8" s="19">
        <v>0</v>
      </c>
      <c r="F8" s="19">
        <v>0</v>
      </c>
      <c r="G8" s="19">
        <v>5</v>
      </c>
      <c r="H8" s="19">
        <v>0</v>
      </c>
      <c r="I8" s="19">
        <v>5</v>
      </c>
    </row>
    <row r="9" spans="1:9">
      <c r="B9" t="s">
        <v>16</v>
      </c>
      <c r="C9" s="19">
        <v>2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2</v>
      </c>
    </row>
    <row r="10" spans="1:9">
      <c r="B10" t="s">
        <v>17</v>
      </c>
      <c r="C10" s="19">
        <v>4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4</v>
      </c>
    </row>
    <row r="11" spans="1:9">
      <c r="B11" t="s">
        <v>18</v>
      </c>
      <c r="C11" s="19">
        <v>5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5</v>
      </c>
    </row>
    <row r="12" spans="1:9">
      <c r="A12" t="s">
        <v>19</v>
      </c>
      <c r="C12" s="19">
        <v>11</v>
      </c>
      <c r="D12" s="19">
        <v>0</v>
      </c>
      <c r="E12" s="19">
        <v>10</v>
      </c>
      <c r="F12" s="19">
        <v>0</v>
      </c>
      <c r="G12" s="19">
        <v>6</v>
      </c>
      <c r="H12" s="19">
        <v>0</v>
      </c>
      <c r="I12" s="19">
        <v>27</v>
      </c>
    </row>
    <row r="13" spans="1:9">
      <c r="A13" t="s">
        <v>20</v>
      </c>
      <c r="B13" t="s">
        <v>21</v>
      </c>
      <c r="C13" s="19">
        <v>6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6</v>
      </c>
    </row>
    <row r="14" spans="1:9">
      <c r="B14" t="s">
        <v>22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1</v>
      </c>
      <c r="I14" s="19">
        <v>1</v>
      </c>
    </row>
    <row r="15" spans="1:9">
      <c r="B15" t="s">
        <v>12</v>
      </c>
      <c r="C15" s="19">
        <v>4</v>
      </c>
      <c r="D15" s="19">
        <v>0</v>
      </c>
      <c r="E15" s="19">
        <v>5</v>
      </c>
      <c r="F15" s="19">
        <v>0</v>
      </c>
      <c r="G15" s="19">
        <v>1</v>
      </c>
      <c r="H15" s="19">
        <v>0</v>
      </c>
      <c r="I15" s="19">
        <v>10</v>
      </c>
    </row>
    <row r="16" spans="1:9">
      <c r="B16" t="s">
        <v>23</v>
      </c>
      <c r="C16" s="19">
        <v>0</v>
      </c>
      <c r="D16" s="19">
        <v>1</v>
      </c>
      <c r="E16" s="19">
        <v>0</v>
      </c>
      <c r="F16" s="19">
        <v>0</v>
      </c>
      <c r="G16" s="19">
        <v>0</v>
      </c>
      <c r="H16" s="19">
        <v>2</v>
      </c>
      <c r="I16" s="19">
        <v>3</v>
      </c>
    </row>
    <row r="17" spans="1:9">
      <c r="B17" t="s">
        <v>24</v>
      </c>
      <c r="C17" s="19">
        <v>0</v>
      </c>
      <c r="D17" s="19">
        <v>3</v>
      </c>
      <c r="E17" s="19">
        <v>1</v>
      </c>
      <c r="F17" s="19">
        <v>0</v>
      </c>
      <c r="G17" s="19">
        <v>0</v>
      </c>
      <c r="H17" s="19">
        <v>1</v>
      </c>
      <c r="I17" s="19">
        <v>5</v>
      </c>
    </row>
    <row r="18" spans="1:9">
      <c r="B18" t="s">
        <v>13</v>
      </c>
      <c r="C18" s="19">
        <v>0</v>
      </c>
      <c r="D18" s="19">
        <v>4</v>
      </c>
      <c r="E18" s="19">
        <v>3</v>
      </c>
      <c r="F18" s="19">
        <v>0</v>
      </c>
      <c r="G18" s="19">
        <v>0</v>
      </c>
      <c r="H18" s="19">
        <v>5</v>
      </c>
      <c r="I18" s="19">
        <v>12</v>
      </c>
    </row>
    <row r="19" spans="1:9">
      <c r="B19" t="s">
        <v>25</v>
      </c>
      <c r="C19" s="19">
        <v>3</v>
      </c>
      <c r="D19" s="19">
        <v>0</v>
      </c>
      <c r="E19" s="19">
        <v>0</v>
      </c>
      <c r="F19" s="19">
        <v>0</v>
      </c>
      <c r="G19" s="19">
        <v>0</v>
      </c>
      <c r="H19" s="19">
        <v>2</v>
      </c>
      <c r="I19" s="19">
        <v>5</v>
      </c>
    </row>
    <row r="20" spans="1:9">
      <c r="B20" t="s">
        <v>14</v>
      </c>
      <c r="C20" s="19">
        <v>0</v>
      </c>
      <c r="D20" s="19">
        <v>0</v>
      </c>
      <c r="E20" s="19">
        <v>1</v>
      </c>
      <c r="F20" s="19">
        <v>0</v>
      </c>
      <c r="G20" s="19">
        <v>0</v>
      </c>
      <c r="H20" s="19">
        <v>0</v>
      </c>
      <c r="I20" s="19">
        <v>1</v>
      </c>
    </row>
    <row r="21" spans="1:9">
      <c r="B21" t="s">
        <v>26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4</v>
      </c>
      <c r="I21" s="19">
        <v>4</v>
      </c>
    </row>
    <row r="22" spans="1:9">
      <c r="B22" t="s">
        <v>27</v>
      </c>
      <c r="C22" s="19">
        <v>6</v>
      </c>
      <c r="D22" s="19">
        <v>0</v>
      </c>
      <c r="E22" s="19">
        <v>0</v>
      </c>
      <c r="F22" s="19">
        <v>0</v>
      </c>
      <c r="G22" s="19">
        <v>3</v>
      </c>
      <c r="H22" s="19">
        <v>0</v>
      </c>
      <c r="I22" s="19">
        <v>9</v>
      </c>
    </row>
    <row r="23" spans="1:9">
      <c r="B23" t="s">
        <v>15</v>
      </c>
      <c r="C23" s="19">
        <v>1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</row>
    <row r="24" spans="1:9">
      <c r="B24" t="s">
        <v>16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1</v>
      </c>
      <c r="I24" s="19">
        <v>1</v>
      </c>
    </row>
    <row r="25" spans="1:9">
      <c r="B25" t="s">
        <v>28</v>
      </c>
      <c r="C25" s="19">
        <v>0</v>
      </c>
      <c r="D25" s="19">
        <v>3</v>
      </c>
      <c r="E25" s="19">
        <v>0</v>
      </c>
      <c r="F25" s="19">
        <v>0</v>
      </c>
      <c r="G25" s="19">
        <v>0</v>
      </c>
      <c r="H25" s="19">
        <v>0</v>
      </c>
      <c r="I25" s="19">
        <v>3</v>
      </c>
    </row>
    <row r="26" spans="1:9">
      <c r="A26" t="s">
        <v>29</v>
      </c>
      <c r="C26" s="19">
        <v>20</v>
      </c>
      <c r="D26" s="19">
        <v>11</v>
      </c>
      <c r="E26" s="19">
        <v>10</v>
      </c>
      <c r="F26" s="19">
        <v>0</v>
      </c>
      <c r="G26" s="19">
        <v>4</v>
      </c>
      <c r="H26" s="19">
        <v>16</v>
      </c>
      <c r="I26" s="19">
        <v>61</v>
      </c>
    </row>
    <row r="27" spans="1:9">
      <c r="A27" t="s">
        <v>30</v>
      </c>
      <c r="B27" t="s">
        <v>31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4</v>
      </c>
      <c r="I27" s="19">
        <v>4</v>
      </c>
    </row>
    <row r="28" spans="1:9">
      <c r="B28" t="s">
        <v>12</v>
      </c>
      <c r="C28" s="19">
        <v>3</v>
      </c>
      <c r="D28" s="19">
        <v>0</v>
      </c>
      <c r="E28" s="19">
        <v>0</v>
      </c>
      <c r="F28" s="19">
        <v>4</v>
      </c>
      <c r="G28" s="19">
        <v>2</v>
      </c>
      <c r="H28" s="19">
        <v>4</v>
      </c>
      <c r="I28" s="19">
        <v>13</v>
      </c>
    </row>
    <row r="29" spans="1:9">
      <c r="B29" t="s">
        <v>23</v>
      </c>
      <c r="C29" s="19">
        <v>7</v>
      </c>
      <c r="D29" s="19">
        <v>0</v>
      </c>
      <c r="E29" s="19">
        <v>0</v>
      </c>
      <c r="F29" s="19">
        <v>0</v>
      </c>
      <c r="G29" s="19">
        <v>0</v>
      </c>
      <c r="H29" s="19">
        <v>6</v>
      </c>
      <c r="I29" s="19">
        <v>13</v>
      </c>
    </row>
    <row r="30" spans="1:9">
      <c r="B30" t="s">
        <v>24</v>
      </c>
      <c r="C30" s="19">
        <v>8</v>
      </c>
      <c r="D30" s="19">
        <v>0</v>
      </c>
      <c r="E30" s="19">
        <v>0</v>
      </c>
      <c r="F30" s="19">
        <v>2</v>
      </c>
      <c r="G30" s="19">
        <v>0</v>
      </c>
      <c r="H30" s="19">
        <v>16</v>
      </c>
      <c r="I30" s="19">
        <v>26</v>
      </c>
    </row>
    <row r="31" spans="1:9">
      <c r="B31" t="s">
        <v>13</v>
      </c>
      <c r="C31" s="19">
        <v>3</v>
      </c>
      <c r="D31" s="19">
        <v>0</v>
      </c>
      <c r="E31" s="19">
        <v>0</v>
      </c>
      <c r="F31" s="19">
        <v>1</v>
      </c>
      <c r="G31" s="19">
        <v>1</v>
      </c>
      <c r="H31" s="19">
        <v>5</v>
      </c>
      <c r="I31" s="19">
        <v>10</v>
      </c>
    </row>
    <row r="32" spans="1:9">
      <c r="B32" t="s">
        <v>25</v>
      </c>
      <c r="C32" s="19">
        <v>5</v>
      </c>
      <c r="D32" s="19">
        <v>0</v>
      </c>
      <c r="E32" s="19">
        <v>0</v>
      </c>
      <c r="F32" s="19">
        <v>1</v>
      </c>
      <c r="G32" s="19">
        <v>1</v>
      </c>
      <c r="H32" s="19">
        <v>3</v>
      </c>
      <c r="I32" s="19">
        <v>10</v>
      </c>
    </row>
    <row r="33" spans="1:9">
      <c r="B33" t="s">
        <v>14</v>
      </c>
      <c r="C33" s="19">
        <v>0</v>
      </c>
      <c r="D33" s="19">
        <v>0</v>
      </c>
      <c r="E33" s="19">
        <v>0</v>
      </c>
      <c r="F33" s="19">
        <v>5</v>
      </c>
      <c r="G33" s="19">
        <v>0</v>
      </c>
      <c r="H33" s="19">
        <v>0</v>
      </c>
      <c r="I33" s="19">
        <v>5</v>
      </c>
    </row>
    <row r="34" spans="1:9">
      <c r="B34" t="s">
        <v>26</v>
      </c>
      <c r="C34" s="19">
        <v>2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2</v>
      </c>
    </row>
    <row r="35" spans="1:9">
      <c r="B35" t="s">
        <v>15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7</v>
      </c>
      <c r="I35" s="19">
        <v>7</v>
      </c>
    </row>
    <row r="36" spans="1:9">
      <c r="B36" t="s">
        <v>32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4</v>
      </c>
      <c r="I36" s="19">
        <v>4</v>
      </c>
    </row>
    <row r="37" spans="1:9">
      <c r="B37" t="s">
        <v>33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1</v>
      </c>
      <c r="I37" s="19">
        <v>1</v>
      </c>
    </row>
    <row r="38" spans="1:9">
      <c r="B38" t="s">
        <v>18</v>
      </c>
      <c r="C38" s="19">
        <v>4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4</v>
      </c>
    </row>
    <row r="39" spans="1:9">
      <c r="A39" t="s">
        <v>34</v>
      </c>
      <c r="C39" s="19">
        <v>32</v>
      </c>
      <c r="D39" s="19">
        <v>0</v>
      </c>
      <c r="E39" s="19">
        <v>0</v>
      </c>
      <c r="F39" s="19">
        <v>13</v>
      </c>
      <c r="G39" s="19">
        <v>4</v>
      </c>
      <c r="H39" s="19">
        <v>50</v>
      </c>
      <c r="I39" s="19">
        <v>99</v>
      </c>
    </row>
    <row r="40" spans="1:9">
      <c r="A40" t="s">
        <v>10</v>
      </c>
      <c r="C40" s="19">
        <v>63</v>
      </c>
      <c r="D40" s="19">
        <v>11</v>
      </c>
      <c r="E40" s="19">
        <v>20</v>
      </c>
      <c r="F40" s="19">
        <v>13</v>
      </c>
      <c r="G40" s="19">
        <v>14</v>
      </c>
      <c r="H40" s="19">
        <v>66</v>
      </c>
      <c r="I40" s="19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9A75-5E4C-48D5-89E2-7877986C2B8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6BB5-F6A5-4DCF-B5A1-0ACD814C026B}">
  <dimension ref="A3:E59"/>
  <sheetViews>
    <sheetView workbookViewId="0">
      <selection activeCell="B4" sqref="B4"/>
    </sheetView>
  </sheetViews>
  <sheetFormatPr defaultRowHeight="15"/>
  <cols>
    <col min="1" max="1" width="22" bestFit="1" customWidth="1"/>
    <col min="2" max="2" width="20.85546875" bestFit="1" customWidth="1"/>
    <col min="3" max="3" width="16.7109375" bestFit="1" customWidth="1"/>
    <col min="4" max="4" width="25" bestFit="1" customWidth="1"/>
    <col min="5" max="5" width="22" bestFit="1" customWidth="1"/>
    <col min="6" max="6" width="7.7109375" bestFit="1" customWidth="1"/>
    <col min="7" max="7" width="7" bestFit="1" customWidth="1"/>
    <col min="8" max="8" width="9.28515625" bestFit="1" customWidth="1"/>
    <col min="9" max="9" width="15.7109375" bestFit="1" customWidth="1"/>
    <col min="10" max="10" width="13.28515625" bestFit="1" customWidth="1"/>
    <col min="11" max="11" width="11.7109375" bestFit="1" customWidth="1"/>
    <col min="12" max="12" width="15.7109375" bestFit="1" customWidth="1"/>
    <col min="13" max="13" width="22" bestFit="1" customWidth="1"/>
    <col min="14" max="14" width="15.7109375" bestFit="1" customWidth="1"/>
    <col min="15" max="15" width="27.28515625" bestFit="1" customWidth="1"/>
    <col min="16" max="17" width="20.85546875" bestFit="1" customWidth="1"/>
    <col min="18" max="18" width="11.42578125" bestFit="1" customWidth="1"/>
    <col min="19" max="19" width="14.28515625" bestFit="1" customWidth="1"/>
    <col min="20" max="22" width="10.28515625" bestFit="1" customWidth="1"/>
    <col min="23" max="23" width="12.7109375" bestFit="1" customWidth="1"/>
    <col min="24" max="29" width="10.28515625" bestFit="1" customWidth="1"/>
    <col min="30" max="30" width="12.140625" bestFit="1" customWidth="1"/>
    <col min="31" max="31" width="11.140625" bestFit="1" customWidth="1"/>
    <col min="32" max="34" width="10.28515625" bestFit="1" customWidth="1"/>
    <col min="35" max="35" width="14.42578125" bestFit="1" customWidth="1"/>
    <col min="36" max="36" width="17.7109375" bestFit="1" customWidth="1"/>
    <col min="37" max="39" width="10.28515625" bestFit="1" customWidth="1"/>
    <col min="40" max="40" width="20.85546875" bestFit="1" customWidth="1"/>
    <col min="41" max="41" width="15.140625" bestFit="1" customWidth="1"/>
    <col min="42" max="43" width="8.7109375" bestFit="1" customWidth="1"/>
    <col min="44" max="53" width="10.28515625" bestFit="1" customWidth="1"/>
    <col min="54" max="54" width="11.42578125" bestFit="1" customWidth="1"/>
    <col min="55" max="55" width="18.42578125" bestFit="1" customWidth="1"/>
    <col min="56" max="56" width="11.7109375" bestFit="1" customWidth="1"/>
  </cols>
  <sheetData>
    <row r="3" spans="1:5">
      <c r="A3" s="3" t="s">
        <v>2</v>
      </c>
      <c r="B3" s="3" t="s">
        <v>35</v>
      </c>
      <c r="C3" s="3" t="s">
        <v>36</v>
      </c>
      <c r="D3" s="3" t="s">
        <v>3</v>
      </c>
      <c r="E3" t="s">
        <v>37</v>
      </c>
    </row>
    <row r="4" spans="1:5">
      <c r="A4" t="s">
        <v>30</v>
      </c>
      <c r="B4" t="s">
        <v>38</v>
      </c>
      <c r="C4" t="s">
        <v>39</v>
      </c>
      <c r="D4" t="s">
        <v>31</v>
      </c>
      <c r="E4">
        <v>1</v>
      </c>
    </row>
    <row r="5" spans="1:5">
      <c r="D5" t="s">
        <v>12</v>
      </c>
      <c r="E5">
        <v>1</v>
      </c>
    </row>
    <row r="6" spans="1:5">
      <c r="D6" t="s">
        <v>24</v>
      </c>
      <c r="E6">
        <v>7</v>
      </c>
    </row>
    <row r="7" spans="1:5">
      <c r="D7" t="s">
        <v>13</v>
      </c>
      <c r="E7">
        <v>5</v>
      </c>
    </row>
    <row r="8" spans="1:5">
      <c r="D8" t="s">
        <v>25</v>
      </c>
      <c r="E8">
        <v>4</v>
      </c>
    </row>
    <row r="9" spans="1:5">
      <c r="D9" t="s">
        <v>14</v>
      </c>
      <c r="E9">
        <v>2</v>
      </c>
    </row>
    <row r="10" spans="1:5">
      <c r="D10" t="s">
        <v>26</v>
      </c>
      <c r="E10">
        <v>1</v>
      </c>
    </row>
    <row r="11" spans="1:5">
      <c r="D11" t="s">
        <v>32</v>
      </c>
      <c r="E11">
        <v>3</v>
      </c>
    </row>
    <row r="12" spans="1:5">
      <c r="D12" t="s">
        <v>33</v>
      </c>
      <c r="E12">
        <v>1</v>
      </c>
    </row>
    <row r="13" spans="1:5">
      <c r="D13" t="s">
        <v>18</v>
      </c>
      <c r="E13">
        <v>1</v>
      </c>
    </row>
    <row r="14" spans="1:5">
      <c r="C14" t="s">
        <v>40</v>
      </c>
      <c r="E14">
        <v>26</v>
      </c>
    </row>
    <row r="15" spans="1:5">
      <c r="B15" t="s">
        <v>41</v>
      </c>
      <c r="E15">
        <v>26</v>
      </c>
    </row>
    <row r="16" spans="1:5">
      <c r="B16" t="s">
        <v>42</v>
      </c>
      <c r="C16" t="s">
        <v>39</v>
      </c>
      <c r="D16" t="s">
        <v>12</v>
      </c>
      <c r="E16">
        <v>5</v>
      </c>
    </row>
    <row r="17" spans="1:5">
      <c r="D17" t="s">
        <v>23</v>
      </c>
      <c r="E17">
        <v>5</v>
      </c>
    </row>
    <row r="18" spans="1:5">
      <c r="D18" t="s">
        <v>24</v>
      </c>
      <c r="E18">
        <v>2</v>
      </c>
    </row>
    <row r="19" spans="1:5">
      <c r="D19" t="s">
        <v>13</v>
      </c>
      <c r="E19">
        <v>4</v>
      </c>
    </row>
    <row r="20" spans="1:5">
      <c r="D20" t="s">
        <v>25</v>
      </c>
      <c r="E20">
        <v>2</v>
      </c>
    </row>
    <row r="21" spans="1:5">
      <c r="D21" t="s">
        <v>15</v>
      </c>
      <c r="E21">
        <v>3</v>
      </c>
    </row>
    <row r="22" spans="1:5">
      <c r="C22" t="s">
        <v>40</v>
      </c>
      <c r="E22">
        <v>21</v>
      </c>
    </row>
    <row r="23" spans="1:5">
      <c r="B23" t="s">
        <v>43</v>
      </c>
      <c r="E23">
        <v>21</v>
      </c>
    </row>
    <row r="24" spans="1:5">
      <c r="A24" t="s">
        <v>34</v>
      </c>
      <c r="E24">
        <v>47</v>
      </c>
    </row>
    <row r="25" spans="1:5">
      <c r="A25" t="s">
        <v>20</v>
      </c>
      <c r="B25" t="s">
        <v>38</v>
      </c>
      <c r="C25" t="s">
        <v>39</v>
      </c>
      <c r="D25" t="s">
        <v>21</v>
      </c>
      <c r="E25">
        <v>2</v>
      </c>
    </row>
    <row r="26" spans="1:5">
      <c r="D26" t="s">
        <v>22</v>
      </c>
      <c r="E26">
        <v>1</v>
      </c>
    </row>
    <row r="27" spans="1:5">
      <c r="D27" t="s">
        <v>12</v>
      </c>
      <c r="E27">
        <v>1</v>
      </c>
    </row>
    <row r="28" spans="1:5">
      <c r="D28" t="s">
        <v>23</v>
      </c>
      <c r="E28">
        <v>2</v>
      </c>
    </row>
    <row r="29" spans="1:5">
      <c r="D29" t="s">
        <v>24</v>
      </c>
      <c r="E29">
        <v>1</v>
      </c>
    </row>
    <row r="30" spans="1:5">
      <c r="D30" t="s">
        <v>13</v>
      </c>
      <c r="E30">
        <v>3</v>
      </c>
    </row>
    <row r="31" spans="1:5">
      <c r="D31" t="s">
        <v>25</v>
      </c>
      <c r="E31">
        <v>3</v>
      </c>
    </row>
    <row r="32" spans="1:5">
      <c r="D32" t="s">
        <v>14</v>
      </c>
      <c r="E32">
        <v>1</v>
      </c>
    </row>
    <row r="33" spans="1:5">
      <c r="D33" t="s">
        <v>27</v>
      </c>
      <c r="E33">
        <v>3</v>
      </c>
    </row>
    <row r="34" spans="1:5">
      <c r="D34" t="s">
        <v>15</v>
      </c>
      <c r="E34">
        <v>1</v>
      </c>
    </row>
    <row r="35" spans="1:5">
      <c r="C35" t="s">
        <v>40</v>
      </c>
      <c r="E35">
        <v>18</v>
      </c>
    </row>
    <row r="36" spans="1:5">
      <c r="B36" t="s">
        <v>41</v>
      </c>
      <c r="E36">
        <v>18</v>
      </c>
    </row>
    <row r="37" spans="1:5">
      <c r="B37" t="s">
        <v>42</v>
      </c>
      <c r="C37" t="s">
        <v>39</v>
      </c>
      <c r="D37" t="s">
        <v>12</v>
      </c>
      <c r="E37">
        <v>4</v>
      </c>
    </row>
    <row r="38" spans="1:5">
      <c r="D38" t="s">
        <v>24</v>
      </c>
      <c r="E38">
        <v>4</v>
      </c>
    </row>
    <row r="39" spans="1:5">
      <c r="D39" t="s">
        <v>13</v>
      </c>
      <c r="E39">
        <v>1</v>
      </c>
    </row>
    <row r="40" spans="1:5">
      <c r="D40" t="s">
        <v>26</v>
      </c>
      <c r="E40">
        <v>1</v>
      </c>
    </row>
    <row r="41" spans="1:5">
      <c r="D41" t="s">
        <v>27</v>
      </c>
      <c r="E41">
        <v>1</v>
      </c>
    </row>
    <row r="42" spans="1:5">
      <c r="D42" t="s">
        <v>16</v>
      </c>
      <c r="E42">
        <v>1</v>
      </c>
    </row>
    <row r="43" spans="1:5">
      <c r="D43" t="s">
        <v>28</v>
      </c>
      <c r="E43">
        <v>1</v>
      </c>
    </row>
    <row r="44" spans="1:5">
      <c r="C44" t="s">
        <v>40</v>
      </c>
      <c r="E44">
        <v>13</v>
      </c>
    </row>
    <row r="45" spans="1:5">
      <c r="B45" t="s">
        <v>43</v>
      </c>
      <c r="E45">
        <v>13</v>
      </c>
    </row>
    <row r="46" spans="1:5">
      <c r="A46" t="s">
        <v>29</v>
      </c>
      <c r="E46">
        <v>31</v>
      </c>
    </row>
    <row r="47" spans="1:5">
      <c r="A47" t="s">
        <v>11</v>
      </c>
      <c r="B47" t="s">
        <v>38</v>
      </c>
      <c r="C47" t="s">
        <v>39</v>
      </c>
      <c r="D47" t="s">
        <v>12</v>
      </c>
      <c r="E47">
        <v>2</v>
      </c>
    </row>
    <row r="48" spans="1:5">
      <c r="D48" t="s">
        <v>13</v>
      </c>
      <c r="E48">
        <v>1</v>
      </c>
    </row>
    <row r="49" spans="1:5">
      <c r="D49" t="s">
        <v>17</v>
      </c>
      <c r="E49">
        <v>1</v>
      </c>
    </row>
    <row r="50" spans="1:5">
      <c r="D50" t="s">
        <v>18</v>
      </c>
      <c r="E50">
        <v>2</v>
      </c>
    </row>
    <row r="51" spans="1:5">
      <c r="C51" t="s">
        <v>40</v>
      </c>
      <c r="E51">
        <v>6</v>
      </c>
    </row>
    <row r="52" spans="1:5">
      <c r="B52" t="s">
        <v>41</v>
      </c>
      <c r="E52">
        <v>6</v>
      </c>
    </row>
    <row r="53" spans="1:5">
      <c r="B53" t="s">
        <v>42</v>
      </c>
      <c r="C53" t="s">
        <v>39</v>
      </c>
      <c r="D53" t="s">
        <v>14</v>
      </c>
      <c r="E53">
        <v>1</v>
      </c>
    </row>
    <row r="54" spans="1:5">
      <c r="D54" t="s">
        <v>15</v>
      </c>
      <c r="E54">
        <v>2</v>
      </c>
    </row>
    <row r="55" spans="1:5">
      <c r="D55" t="s">
        <v>16</v>
      </c>
      <c r="E55">
        <v>1</v>
      </c>
    </row>
    <row r="56" spans="1:5">
      <c r="C56" t="s">
        <v>40</v>
      </c>
      <c r="E56">
        <v>4</v>
      </c>
    </row>
    <row r="57" spans="1:5">
      <c r="B57" t="s">
        <v>43</v>
      </c>
      <c r="E57">
        <v>4</v>
      </c>
    </row>
    <row r="58" spans="1:5">
      <c r="A58" t="s">
        <v>19</v>
      </c>
      <c r="E58">
        <v>10</v>
      </c>
    </row>
    <row r="59" spans="1:5">
      <c r="A59" t="s">
        <v>10</v>
      </c>
      <c r="E59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workbookViewId="0"/>
  </sheetViews>
  <sheetFormatPr defaultRowHeight="14.45"/>
  <cols>
    <col min="1" max="1" width="15.85546875" bestFit="1" customWidth="1"/>
    <col min="2" max="2" width="11.42578125" bestFit="1" customWidth="1"/>
    <col min="4" max="4" width="10.140625" bestFit="1" customWidth="1"/>
    <col min="6" max="6" width="16.7109375" bestFit="1" customWidth="1"/>
    <col min="7" max="7" width="19.7109375" style="2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</cols>
  <sheetData>
    <row r="1" spans="1:21" s="1" customFormat="1" ht="15">
      <c r="A1" s="16" t="s">
        <v>44</v>
      </c>
      <c r="B1" s="16" t="s">
        <v>45</v>
      </c>
      <c r="C1" s="16" t="s">
        <v>46</v>
      </c>
      <c r="D1" s="16" t="s">
        <v>47</v>
      </c>
      <c r="E1" s="16" t="s">
        <v>48</v>
      </c>
      <c r="F1" s="16" t="s">
        <v>49</v>
      </c>
      <c r="G1" s="17" t="s">
        <v>2</v>
      </c>
      <c r="H1" s="16" t="s">
        <v>35</v>
      </c>
      <c r="I1" s="16" t="s">
        <v>1</v>
      </c>
      <c r="J1" s="16" t="s">
        <v>50</v>
      </c>
      <c r="K1" s="16" t="s">
        <v>51</v>
      </c>
      <c r="L1" s="16" t="s">
        <v>36</v>
      </c>
      <c r="M1" s="18" t="s">
        <v>3</v>
      </c>
      <c r="N1" s="16" t="s">
        <v>52</v>
      </c>
      <c r="O1" s="16" t="s">
        <v>53</v>
      </c>
      <c r="P1" s="16" t="s">
        <v>54</v>
      </c>
      <c r="Q1" s="16" t="s">
        <v>55</v>
      </c>
      <c r="R1" s="16" t="s">
        <v>56</v>
      </c>
      <c r="S1" s="16" t="s">
        <v>57</v>
      </c>
      <c r="U1" t="str" cm="1">
        <f t="array" ref="U1:U6">_xlfn.UNIQUE($I$2:$I$89)</f>
        <v>Australia</v>
      </c>
    </row>
    <row r="2" spans="1:21">
      <c r="A2" s="14" t="s">
        <v>58</v>
      </c>
      <c r="B2" s="4">
        <v>44532</v>
      </c>
      <c r="C2" s="5">
        <v>2</v>
      </c>
      <c r="D2" s="5" t="s">
        <v>59</v>
      </c>
      <c r="E2" s="5">
        <v>2021</v>
      </c>
      <c r="F2" s="5">
        <v>31</v>
      </c>
      <c r="G2" s="6" t="s">
        <v>20</v>
      </c>
      <c r="H2" s="5" t="s">
        <v>38</v>
      </c>
      <c r="I2" s="5" t="s">
        <v>4</v>
      </c>
      <c r="J2" s="5" t="s">
        <v>60</v>
      </c>
      <c r="K2" s="5" t="s">
        <v>61</v>
      </c>
      <c r="L2" s="5" t="s">
        <v>39</v>
      </c>
      <c r="M2" s="7" t="s">
        <v>27</v>
      </c>
      <c r="N2" s="5">
        <v>1</v>
      </c>
      <c r="O2" s="8">
        <v>420</v>
      </c>
      <c r="P2" s="8">
        <v>769</v>
      </c>
      <c r="Q2" s="8">
        <v>349</v>
      </c>
      <c r="R2" s="8">
        <f>N2*O2</f>
        <v>420</v>
      </c>
      <c r="S2" s="8">
        <f>N2*P2</f>
        <v>769</v>
      </c>
      <c r="U2" t="str">
        <v>Canada</v>
      </c>
    </row>
    <row r="3" spans="1:21">
      <c r="A3" s="15" t="s">
        <v>62</v>
      </c>
      <c r="B3" s="9">
        <v>44534</v>
      </c>
      <c r="C3" s="10">
        <v>4</v>
      </c>
      <c r="D3" s="10" t="s">
        <v>59</v>
      </c>
      <c r="E3" s="10">
        <v>2021</v>
      </c>
      <c r="F3" s="10">
        <v>31</v>
      </c>
      <c r="G3" s="11" t="s">
        <v>20</v>
      </c>
      <c r="H3" s="10" t="s">
        <v>38</v>
      </c>
      <c r="I3" s="10" t="s">
        <v>4</v>
      </c>
      <c r="J3" s="10" t="s">
        <v>60</v>
      </c>
      <c r="K3" s="10" t="s">
        <v>61</v>
      </c>
      <c r="L3" s="10" t="s">
        <v>39</v>
      </c>
      <c r="M3" s="12" t="s">
        <v>27</v>
      </c>
      <c r="N3" s="10">
        <v>4</v>
      </c>
      <c r="O3" s="13">
        <v>420</v>
      </c>
      <c r="P3" s="13">
        <v>769</v>
      </c>
      <c r="Q3" s="13">
        <v>1396</v>
      </c>
      <c r="R3" s="13">
        <f>N3*O3</f>
        <v>1680</v>
      </c>
      <c r="S3" s="13">
        <f>N3*P3</f>
        <v>3076</v>
      </c>
      <c r="U3" t="str">
        <v>France</v>
      </c>
    </row>
    <row r="4" spans="1:21">
      <c r="A4" s="14" t="s">
        <v>63</v>
      </c>
      <c r="B4" s="4">
        <v>44535</v>
      </c>
      <c r="C4" s="5">
        <v>5</v>
      </c>
      <c r="D4" s="5" t="s">
        <v>59</v>
      </c>
      <c r="E4" s="5">
        <v>2021</v>
      </c>
      <c r="F4" s="5">
        <v>35</v>
      </c>
      <c r="G4" s="6" t="s">
        <v>30</v>
      </c>
      <c r="H4" s="5" t="s">
        <v>38</v>
      </c>
      <c r="I4" s="5" t="s">
        <v>4</v>
      </c>
      <c r="J4" s="5" t="s">
        <v>64</v>
      </c>
      <c r="K4" s="5" t="s">
        <v>61</v>
      </c>
      <c r="L4" s="5" t="s">
        <v>39</v>
      </c>
      <c r="M4" s="7" t="s">
        <v>13</v>
      </c>
      <c r="N4" s="5">
        <v>1</v>
      </c>
      <c r="O4" s="8">
        <v>1266</v>
      </c>
      <c r="P4" s="8">
        <v>2320</v>
      </c>
      <c r="Q4" s="8">
        <v>1054</v>
      </c>
      <c r="R4" s="8">
        <f>N4*O4</f>
        <v>1266</v>
      </c>
      <c r="S4" s="8">
        <f>N4*P4</f>
        <v>2320</v>
      </c>
      <c r="U4" t="str">
        <v>Germany</v>
      </c>
    </row>
    <row r="5" spans="1:21">
      <c r="A5" s="15" t="s">
        <v>65</v>
      </c>
      <c r="B5" s="9">
        <v>44536</v>
      </c>
      <c r="C5" s="10">
        <v>6</v>
      </c>
      <c r="D5" s="10" t="s">
        <v>59</v>
      </c>
      <c r="E5" s="10">
        <v>2021</v>
      </c>
      <c r="F5" s="10">
        <v>36</v>
      </c>
      <c r="G5" s="11" t="s">
        <v>30</v>
      </c>
      <c r="H5" s="10" t="s">
        <v>42</v>
      </c>
      <c r="I5" s="10" t="s">
        <v>4</v>
      </c>
      <c r="J5" s="10" t="s">
        <v>60</v>
      </c>
      <c r="K5" s="10" t="s">
        <v>61</v>
      </c>
      <c r="L5" s="10" t="s">
        <v>39</v>
      </c>
      <c r="M5" s="12" t="s">
        <v>23</v>
      </c>
      <c r="N5" s="10">
        <v>1</v>
      </c>
      <c r="O5" s="13">
        <v>1252</v>
      </c>
      <c r="P5" s="13">
        <v>2295</v>
      </c>
      <c r="Q5" s="13">
        <v>1043</v>
      </c>
      <c r="R5" s="13">
        <f>N5*O5</f>
        <v>1252</v>
      </c>
      <c r="S5" s="13">
        <f>N5*P5</f>
        <v>2295</v>
      </c>
      <c r="U5" t="str">
        <v>United Kingdom</v>
      </c>
    </row>
    <row r="6" spans="1:21">
      <c r="A6" s="14" t="s">
        <v>66</v>
      </c>
      <c r="B6" s="4">
        <v>44538</v>
      </c>
      <c r="C6" s="5">
        <v>8</v>
      </c>
      <c r="D6" s="5" t="s">
        <v>59</v>
      </c>
      <c r="E6" s="5">
        <v>2021</v>
      </c>
      <c r="F6" s="5">
        <v>19</v>
      </c>
      <c r="G6" s="6" t="s">
        <v>11</v>
      </c>
      <c r="H6" s="5" t="s">
        <v>38</v>
      </c>
      <c r="I6" s="5" t="s">
        <v>4</v>
      </c>
      <c r="J6" s="5" t="s">
        <v>60</v>
      </c>
      <c r="K6" s="5" t="s">
        <v>61</v>
      </c>
      <c r="L6" s="5" t="s">
        <v>39</v>
      </c>
      <c r="M6" s="7" t="s">
        <v>18</v>
      </c>
      <c r="N6" s="5">
        <v>4</v>
      </c>
      <c r="O6" s="8">
        <v>308</v>
      </c>
      <c r="P6" s="8">
        <v>565</v>
      </c>
      <c r="Q6" s="8">
        <v>1028</v>
      </c>
      <c r="R6" s="8">
        <f>N6*O6</f>
        <v>1232</v>
      </c>
      <c r="S6" s="8">
        <f>N6*P6</f>
        <v>2260</v>
      </c>
      <c r="U6" t="str">
        <v>United States</v>
      </c>
    </row>
    <row r="7" spans="1:21">
      <c r="A7" s="15" t="s">
        <v>67</v>
      </c>
      <c r="B7" s="9">
        <v>44539</v>
      </c>
      <c r="C7" s="10">
        <v>9</v>
      </c>
      <c r="D7" s="10" t="s">
        <v>59</v>
      </c>
      <c r="E7" s="10">
        <v>2021</v>
      </c>
      <c r="F7" s="10">
        <v>33</v>
      </c>
      <c r="G7" s="11" t="s">
        <v>20</v>
      </c>
      <c r="H7" s="10" t="s">
        <v>38</v>
      </c>
      <c r="I7" s="10" t="s">
        <v>4</v>
      </c>
      <c r="J7" s="10" t="s">
        <v>68</v>
      </c>
      <c r="K7" s="10" t="s">
        <v>61</v>
      </c>
      <c r="L7" s="10" t="s">
        <v>39</v>
      </c>
      <c r="M7" s="12" t="s">
        <v>21</v>
      </c>
      <c r="N7" s="10">
        <v>2</v>
      </c>
      <c r="O7" s="13">
        <v>1898</v>
      </c>
      <c r="P7" s="13">
        <v>3375</v>
      </c>
      <c r="Q7" s="13">
        <v>2954</v>
      </c>
      <c r="R7" s="13">
        <f>N7*O7</f>
        <v>3796</v>
      </c>
      <c r="S7" s="13">
        <f>N7*P7</f>
        <v>6750</v>
      </c>
    </row>
    <row r="8" spans="1:21">
      <c r="A8" s="14" t="s">
        <v>69</v>
      </c>
      <c r="B8" s="4">
        <v>44540</v>
      </c>
      <c r="C8" s="5">
        <v>10</v>
      </c>
      <c r="D8" s="5" t="s">
        <v>59</v>
      </c>
      <c r="E8" s="5">
        <v>2021</v>
      </c>
      <c r="F8" s="5">
        <v>40</v>
      </c>
      <c r="G8" s="6" t="s">
        <v>30</v>
      </c>
      <c r="H8" s="5" t="s">
        <v>42</v>
      </c>
      <c r="I8" s="5" t="s">
        <v>4</v>
      </c>
      <c r="J8" s="5" t="s">
        <v>60</v>
      </c>
      <c r="K8" s="5" t="s">
        <v>61</v>
      </c>
      <c r="L8" s="5" t="s">
        <v>39</v>
      </c>
      <c r="M8" s="7" t="s">
        <v>23</v>
      </c>
      <c r="N8" s="5">
        <v>2</v>
      </c>
      <c r="O8" s="8">
        <v>1252</v>
      </c>
      <c r="P8" s="8">
        <v>2295</v>
      </c>
      <c r="Q8" s="8">
        <v>2086</v>
      </c>
      <c r="R8" s="8">
        <f>N8*O8</f>
        <v>2504</v>
      </c>
      <c r="S8" s="8">
        <f>N8*P8</f>
        <v>4590</v>
      </c>
    </row>
    <row r="9" spans="1:21">
      <c r="A9" s="15" t="s">
        <v>70</v>
      </c>
      <c r="B9" s="9">
        <v>44540</v>
      </c>
      <c r="C9" s="10">
        <v>10</v>
      </c>
      <c r="D9" s="10" t="s">
        <v>59</v>
      </c>
      <c r="E9" s="10">
        <v>2021</v>
      </c>
      <c r="F9" s="10">
        <v>38</v>
      </c>
      <c r="G9" s="11" t="s">
        <v>30</v>
      </c>
      <c r="H9" s="10" t="s">
        <v>42</v>
      </c>
      <c r="I9" s="10" t="s">
        <v>4</v>
      </c>
      <c r="J9" s="10" t="s">
        <v>60</v>
      </c>
      <c r="K9" s="10" t="s">
        <v>61</v>
      </c>
      <c r="L9" s="10" t="s">
        <v>39</v>
      </c>
      <c r="M9" s="12" t="s">
        <v>12</v>
      </c>
      <c r="N9" s="10">
        <v>1</v>
      </c>
      <c r="O9" s="13">
        <v>1252</v>
      </c>
      <c r="P9" s="13">
        <v>2295</v>
      </c>
      <c r="Q9" s="13">
        <v>1043</v>
      </c>
      <c r="R9" s="13">
        <f>N9*O9</f>
        <v>1252</v>
      </c>
      <c r="S9" s="13">
        <f>N9*P9</f>
        <v>2295</v>
      </c>
    </row>
    <row r="10" spans="1:21">
      <c r="A10" s="14" t="s">
        <v>71</v>
      </c>
      <c r="B10" s="4">
        <v>44541</v>
      </c>
      <c r="C10" s="5">
        <v>11</v>
      </c>
      <c r="D10" s="5" t="s">
        <v>59</v>
      </c>
      <c r="E10" s="5">
        <v>2021</v>
      </c>
      <c r="F10" s="5">
        <v>41</v>
      </c>
      <c r="G10" s="6" t="s">
        <v>30</v>
      </c>
      <c r="H10" s="5" t="s">
        <v>38</v>
      </c>
      <c r="I10" s="5" t="s">
        <v>4</v>
      </c>
      <c r="J10" s="5" t="s">
        <v>60</v>
      </c>
      <c r="K10" s="5" t="s">
        <v>61</v>
      </c>
      <c r="L10" s="5" t="s">
        <v>39</v>
      </c>
      <c r="M10" s="7" t="s">
        <v>26</v>
      </c>
      <c r="N10" s="5">
        <v>2</v>
      </c>
      <c r="O10" s="8">
        <v>420</v>
      </c>
      <c r="P10" s="8">
        <v>769</v>
      </c>
      <c r="Q10" s="8">
        <v>698</v>
      </c>
      <c r="R10" s="8">
        <f>N10*O10</f>
        <v>840</v>
      </c>
      <c r="S10" s="8">
        <f>N10*P10</f>
        <v>1538</v>
      </c>
    </row>
    <row r="11" spans="1:21">
      <c r="A11" s="15" t="s">
        <v>72</v>
      </c>
      <c r="B11" s="9">
        <v>44542</v>
      </c>
      <c r="C11" s="10">
        <v>12</v>
      </c>
      <c r="D11" s="10" t="s">
        <v>59</v>
      </c>
      <c r="E11" s="10">
        <v>2021</v>
      </c>
      <c r="F11" s="10">
        <v>36</v>
      </c>
      <c r="G11" s="11" t="s">
        <v>30</v>
      </c>
      <c r="H11" s="10" t="s">
        <v>38</v>
      </c>
      <c r="I11" s="10" t="s">
        <v>4</v>
      </c>
      <c r="J11" s="10" t="s">
        <v>60</v>
      </c>
      <c r="K11" s="10" t="s">
        <v>61</v>
      </c>
      <c r="L11" s="10" t="s">
        <v>39</v>
      </c>
      <c r="M11" s="12" t="s">
        <v>25</v>
      </c>
      <c r="N11" s="10">
        <v>4</v>
      </c>
      <c r="O11" s="13">
        <v>1266</v>
      </c>
      <c r="P11" s="13">
        <v>2320</v>
      </c>
      <c r="Q11" s="13">
        <v>4216</v>
      </c>
      <c r="R11" s="13">
        <f>N11*O11</f>
        <v>5064</v>
      </c>
      <c r="S11" s="13">
        <f>N11*P11</f>
        <v>9280</v>
      </c>
    </row>
    <row r="12" spans="1:21">
      <c r="A12" s="14" t="s">
        <v>73</v>
      </c>
      <c r="B12" s="4">
        <v>44542</v>
      </c>
      <c r="C12" s="5">
        <v>12</v>
      </c>
      <c r="D12" s="5" t="s">
        <v>59</v>
      </c>
      <c r="E12" s="5">
        <v>2021</v>
      </c>
      <c r="F12" s="5">
        <v>34</v>
      </c>
      <c r="G12" s="6" t="s">
        <v>20</v>
      </c>
      <c r="H12" s="5" t="s">
        <v>42</v>
      </c>
      <c r="I12" s="5" t="s">
        <v>4</v>
      </c>
      <c r="J12" s="5" t="s">
        <v>60</v>
      </c>
      <c r="K12" s="5" t="s">
        <v>61</v>
      </c>
      <c r="L12" s="5" t="s">
        <v>39</v>
      </c>
      <c r="M12" s="7" t="s">
        <v>12</v>
      </c>
      <c r="N12" s="5">
        <v>2</v>
      </c>
      <c r="O12" s="8">
        <v>1252</v>
      </c>
      <c r="P12" s="8">
        <v>2295</v>
      </c>
      <c r="Q12" s="8">
        <v>2086</v>
      </c>
      <c r="R12" s="8">
        <f>N12*O12</f>
        <v>2504</v>
      </c>
      <c r="S12" s="8">
        <f>N12*P12</f>
        <v>4590</v>
      </c>
    </row>
    <row r="13" spans="1:21">
      <c r="A13" s="15" t="s">
        <v>74</v>
      </c>
      <c r="B13" s="9">
        <v>44542</v>
      </c>
      <c r="C13" s="10">
        <v>12</v>
      </c>
      <c r="D13" s="10" t="s">
        <v>59</v>
      </c>
      <c r="E13" s="10">
        <v>2021</v>
      </c>
      <c r="F13" s="10">
        <v>35</v>
      </c>
      <c r="G13" s="11" t="s">
        <v>30</v>
      </c>
      <c r="H13" s="10" t="s">
        <v>38</v>
      </c>
      <c r="I13" s="10" t="s">
        <v>4</v>
      </c>
      <c r="J13" s="10" t="s">
        <v>68</v>
      </c>
      <c r="K13" s="10" t="s">
        <v>61</v>
      </c>
      <c r="L13" s="10" t="s">
        <v>39</v>
      </c>
      <c r="M13" s="12" t="s">
        <v>25</v>
      </c>
      <c r="N13" s="10">
        <v>1</v>
      </c>
      <c r="O13" s="13">
        <v>1266</v>
      </c>
      <c r="P13" s="13">
        <v>2320</v>
      </c>
      <c r="Q13" s="13">
        <v>1054</v>
      </c>
      <c r="R13" s="13">
        <f>N13*O13</f>
        <v>1266</v>
      </c>
      <c r="S13" s="13">
        <f>N13*P13</f>
        <v>2320</v>
      </c>
    </row>
    <row r="14" spans="1:21">
      <c r="A14" s="14" t="s">
        <v>75</v>
      </c>
      <c r="B14" s="4">
        <v>44543</v>
      </c>
      <c r="C14" s="5">
        <v>13</v>
      </c>
      <c r="D14" s="5" t="s">
        <v>59</v>
      </c>
      <c r="E14" s="5">
        <v>2021</v>
      </c>
      <c r="F14" s="5">
        <v>32</v>
      </c>
      <c r="G14" s="6" t="s">
        <v>20</v>
      </c>
      <c r="H14" s="5" t="s">
        <v>38</v>
      </c>
      <c r="I14" s="5" t="s">
        <v>4</v>
      </c>
      <c r="J14" s="5" t="s">
        <v>64</v>
      </c>
      <c r="K14" s="5" t="s">
        <v>61</v>
      </c>
      <c r="L14" s="5" t="s">
        <v>39</v>
      </c>
      <c r="M14" s="7" t="s">
        <v>25</v>
      </c>
      <c r="N14" s="5">
        <v>3</v>
      </c>
      <c r="O14" s="8">
        <v>1266</v>
      </c>
      <c r="P14" s="8">
        <v>2320</v>
      </c>
      <c r="Q14" s="8">
        <v>3162</v>
      </c>
      <c r="R14" s="8">
        <f>N14*O14</f>
        <v>3798</v>
      </c>
      <c r="S14" s="8">
        <f>N14*P14</f>
        <v>6960</v>
      </c>
    </row>
    <row r="15" spans="1:21">
      <c r="A15" s="15" t="s">
        <v>76</v>
      </c>
      <c r="B15" s="9">
        <v>44544</v>
      </c>
      <c r="C15" s="10">
        <v>14</v>
      </c>
      <c r="D15" s="10" t="s">
        <v>59</v>
      </c>
      <c r="E15" s="10">
        <v>2021</v>
      </c>
      <c r="F15" s="10">
        <v>32</v>
      </c>
      <c r="G15" s="11" t="s">
        <v>20</v>
      </c>
      <c r="H15" s="10" t="s">
        <v>38</v>
      </c>
      <c r="I15" s="10" t="s">
        <v>4</v>
      </c>
      <c r="J15" s="10" t="s">
        <v>68</v>
      </c>
      <c r="K15" s="10" t="s">
        <v>61</v>
      </c>
      <c r="L15" s="10" t="s">
        <v>39</v>
      </c>
      <c r="M15" s="12" t="s">
        <v>15</v>
      </c>
      <c r="N15" s="10">
        <v>1</v>
      </c>
      <c r="O15" s="13">
        <v>420</v>
      </c>
      <c r="P15" s="13">
        <v>769</v>
      </c>
      <c r="Q15" s="13">
        <v>349</v>
      </c>
      <c r="R15" s="13">
        <f>N15*O15</f>
        <v>420</v>
      </c>
      <c r="S15" s="13">
        <f>N15*P15</f>
        <v>769</v>
      </c>
    </row>
    <row r="16" spans="1:21">
      <c r="A16" s="14" t="s">
        <v>77</v>
      </c>
      <c r="B16" s="4">
        <v>44546</v>
      </c>
      <c r="C16" s="5">
        <v>16</v>
      </c>
      <c r="D16" s="5" t="s">
        <v>59</v>
      </c>
      <c r="E16" s="5">
        <v>2021</v>
      </c>
      <c r="F16" s="5">
        <v>33</v>
      </c>
      <c r="G16" s="6" t="s">
        <v>20</v>
      </c>
      <c r="H16" s="5" t="s">
        <v>38</v>
      </c>
      <c r="I16" s="5" t="s">
        <v>4</v>
      </c>
      <c r="J16" s="5" t="s">
        <v>60</v>
      </c>
      <c r="K16" s="5" t="s">
        <v>61</v>
      </c>
      <c r="L16" s="5" t="s">
        <v>39</v>
      </c>
      <c r="M16" s="7" t="s">
        <v>12</v>
      </c>
      <c r="N16" s="5">
        <v>2</v>
      </c>
      <c r="O16" s="8">
        <v>1252</v>
      </c>
      <c r="P16" s="8">
        <v>2295</v>
      </c>
      <c r="Q16" s="8">
        <v>2086</v>
      </c>
      <c r="R16" s="8">
        <f>N16*O16</f>
        <v>2504</v>
      </c>
      <c r="S16" s="8">
        <f>N16*P16</f>
        <v>4590</v>
      </c>
    </row>
    <row r="17" spans="1:19">
      <c r="A17" s="15" t="s">
        <v>78</v>
      </c>
      <c r="B17" s="9">
        <v>44546</v>
      </c>
      <c r="C17" s="10">
        <v>16</v>
      </c>
      <c r="D17" s="10" t="s">
        <v>59</v>
      </c>
      <c r="E17" s="10">
        <v>2021</v>
      </c>
      <c r="F17" s="10">
        <v>38</v>
      </c>
      <c r="G17" s="11" t="s">
        <v>30</v>
      </c>
      <c r="H17" s="10" t="s">
        <v>42</v>
      </c>
      <c r="I17" s="10" t="s">
        <v>4</v>
      </c>
      <c r="J17" s="10" t="s">
        <v>60</v>
      </c>
      <c r="K17" s="10" t="s">
        <v>61</v>
      </c>
      <c r="L17" s="10" t="s">
        <v>39</v>
      </c>
      <c r="M17" s="12" t="s">
        <v>12</v>
      </c>
      <c r="N17" s="10">
        <v>2</v>
      </c>
      <c r="O17" s="13">
        <v>1252</v>
      </c>
      <c r="P17" s="13">
        <v>2295</v>
      </c>
      <c r="Q17" s="13">
        <v>2086</v>
      </c>
      <c r="R17" s="13">
        <f>N17*O17</f>
        <v>2504</v>
      </c>
      <c r="S17" s="13">
        <f>N17*P17</f>
        <v>4590</v>
      </c>
    </row>
    <row r="18" spans="1:19">
      <c r="A18" s="14" t="s">
        <v>79</v>
      </c>
      <c r="B18" s="4">
        <v>44547</v>
      </c>
      <c r="C18" s="5">
        <v>17</v>
      </c>
      <c r="D18" s="5" t="s">
        <v>59</v>
      </c>
      <c r="E18" s="5">
        <v>2021</v>
      </c>
      <c r="F18" s="5">
        <v>31</v>
      </c>
      <c r="G18" s="6" t="s">
        <v>20</v>
      </c>
      <c r="H18" s="5" t="s">
        <v>42</v>
      </c>
      <c r="I18" s="5" t="s">
        <v>4</v>
      </c>
      <c r="J18" s="5" t="s">
        <v>60</v>
      </c>
      <c r="K18" s="5" t="s">
        <v>61</v>
      </c>
      <c r="L18" s="5" t="s">
        <v>39</v>
      </c>
      <c r="M18" s="7" t="s">
        <v>27</v>
      </c>
      <c r="N18" s="5">
        <v>1</v>
      </c>
      <c r="O18" s="8">
        <v>420</v>
      </c>
      <c r="P18" s="8">
        <v>769</v>
      </c>
      <c r="Q18" s="8">
        <v>349</v>
      </c>
      <c r="R18" s="8">
        <f>N18*O18</f>
        <v>420</v>
      </c>
      <c r="S18" s="8">
        <f>N18*P18</f>
        <v>769</v>
      </c>
    </row>
    <row r="19" spans="1:19">
      <c r="A19" s="15" t="s">
        <v>80</v>
      </c>
      <c r="B19" s="9">
        <v>44548</v>
      </c>
      <c r="C19" s="10">
        <v>18</v>
      </c>
      <c r="D19" s="10" t="s">
        <v>59</v>
      </c>
      <c r="E19" s="10">
        <v>2021</v>
      </c>
      <c r="F19" s="10">
        <v>35</v>
      </c>
      <c r="G19" s="11" t="s">
        <v>30</v>
      </c>
      <c r="H19" s="10" t="s">
        <v>38</v>
      </c>
      <c r="I19" s="10" t="s">
        <v>4</v>
      </c>
      <c r="J19" s="10" t="s">
        <v>60</v>
      </c>
      <c r="K19" s="10" t="s">
        <v>61</v>
      </c>
      <c r="L19" s="10" t="s">
        <v>39</v>
      </c>
      <c r="M19" s="12" t="s">
        <v>18</v>
      </c>
      <c r="N19" s="10">
        <v>4</v>
      </c>
      <c r="O19" s="13">
        <v>308</v>
      </c>
      <c r="P19" s="13">
        <v>565</v>
      </c>
      <c r="Q19" s="13">
        <v>1028</v>
      </c>
      <c r="R19" s="13">
        <f>N19*O19</f>
        <v>1232</v>
      </c>
      <c r="S19" s="13">
        <f>N19*P19</f>
        <v>2260</v>
      </c>
    </row>
    <row r="20" spans="1:19">
      <c r="A20" s="14" t="s">
        <v>81</v>
      </c>
      <c r="B20" s="4">
        <v>44549</v>
      </c>
      <c r="C20" s="5">
        <v>19</v>
      </c>
      <c r="D20" s="5" t="s">
        <v>59</v>
      </c>
      <c r="E20" s="5">
        <v>2021</v>
      </c>
      <c r="F20" s="5">
        <v>19</v>
      </c>
      <c r="G20" s="6" t="s">
        <v>11</v>
      </c>
      <c r="H20" s="5" t="s">
        <v>38</v>
      </c>
      <c r="I20" s="5" t="s">
        <v>4</v>
      </c>
      <c r="J20" s="5" t="s">
        <v>68</v>
      </c>
      <c r="K20" s="5" t="s">
        <v>61</v>
      </c>
      <c r="L20" s="5" t="s">
        <v>39</v>
      </c>
      <c r="M20" s="7" t="s">
        <v>17</v>
      </c>
      <c r="N20" s="5">
        <v>4</v>
      </c>
      <c r="O20" s="8">
        <v>295</v>
      </c>
      <c r="P20" s="8">
        <v>540</v>
      </c>
      <c r="Q20" s="8">
        <v>980</v>
      </c>
      <c r="R20" s="8">
        <f>N20*O20</f>
        <v>1180</v>
      </c>
      <c r="S20" s="8">
        <f>N20*P20</f>
        <v>2160</v>
      </c>
    </row>
    <row r="21" spans="1:19">
      <c r="A21" s="15" t="s">
        <v>82</v>
      </c>
      <c r="B21" s="9">
        <v>44549</v>
      </c>
      <c r="C21" s="10">
        <v>19</v>
      </c>
      <c r="D21" s="10" t="s">
        <v>59</v>
      </c>
      <c r="E21" s="10">
        <v>2021</v>
      </c>
      <c r="F21" s="10">
        <v>63</v>
      </c>
      <c r="G21" s="11" t="s">
        <v>30</v>
      </c>
      <c r="H21" s="10" t="s">
        <v>38</v>
      </c>
      <c r="I21" s="10" t="s">
        <v>4</v>
      </c>
      <c r="J21" s="10" t="s">
        <v>64</v>
      </c>
      <c r="K21" s="10" t="s">
        <v>61</v>
      </c>
      <c r="L21" s="10" t="s">
        <v>39</v>
      </c>
      <c r="M21" s="12" t="s">
        <v>24</v>
      </c>
      <c r="N21" s="10">
        <v>4</v>
      </c>
      <c r="O21" s="13">
        <v>1252</v>
      </c>
      <c r="P21" s="13">
        <v>2295</v>
      </c>
      <c r="Q21" s="13">
        <v>4172</v>
      </c>
      <c r="R21" s="13">
        <f>N21*O21</f>
        <v>5008</v>
      </c>
      <c r="S21" s="13">
        <f>N21*P21</f>
        <v>9180</v>
      </c>
    </row>
    <row r="22" spans="1:19">
      <c r="A22" s="14" t="s">
        <v>83</v>
      </c>
      <c r="B22" s="4">
        <v>44549</v>
      </c>
      <c r="C22" s="5">
        <v>19</v>
      </c>
      <c r="D22" s="5" t="s">
        <v>59</v>
      </c>
      <c r="E22" s="5">
        <v>2021</v>
      </c>
      <c r="F22" s="5">
        <v>18</v>
      </c>
      <c r="G22" s="6" t="s">
        <v>11</v>
      </c>
      <c r="H22" s="5" t="s">
        <v>42</v>
      </c>
      <c r="I22" s="5" t="s">
        <v>4</v>
      </c>
      <c r="J22" s="5" t="s">
        <v>84</v>
      </c>
      <c r="K22" s="5" t="s">
        <v>61</v>
      </c>
      <c r="L22" s="5" t="s">
        <v>39</v>
      </c>
      <c r="M22" s="7" t="s">
        <v>16</v>
      </c>
      <c r="N22" s="5">
        <v>2</v>
      </c>
      <c r="O22" s="8">
        <v>295</v>
      </c>
      <c r="P22" s="8">
        <v>540</v>
      </c>
      <c r="Q22" s="8">
        <v>490</v>
      </c>
      <c r="R22" s="8">
        <f>N22*O22</f>
        <v>590</v>
      </c>
      <c r="S22" s="8">
        <f>N22*P22</f>
        <v>1080</v>
      </c>
    </row>
    <row r="23" spans="1:19">
      <c r="A23" s="15" t="s">
        <v>85</v>
      </c>
      <c r="B23" s="9">
        <v>44550</v>
      </c>
      <c r="C23" s="10">
        <v>20</v>
      </c>
      <c r="D23" s="10" t="s">
        <v>59</v>
      </c>
      <c r="E23" s="10">
        <v>2021</v>
      </c>
      <c r="F23" s="10">
        <v>33</v>
      </c>
      <c r="G23" s="11" t="s">
        <v>20</v>
      </c>
      <c r="H23" s="10" t="s">
        <v>38</v>
      </c>
      <c r="I23" s="10" t="s">
        <v>4</v>
      </c>
      <c r="J23" s="10" t="s">
        <v>68</v>
      </c>
      <c r="K23" s="10" t="s">
        <v>61</v>
      </c>
      <c r="L23" s="10" t="s">
        <v>39</v>
      </c>
      <c r="M23" s="12" t="s">
        <v>21</v>
      </c>
      <c r="N23" s="10">
        <v>4</v>
      </c>
      <c r="O23" s="13">
        <v>1898</v>
      </c>
      <c r="P23" s="13">
        <v>3375</v>
      </c>
      <c r="Q23" s="13">
        <v>5908</v>
      </c>
      <c r="R23" s="13">
        <f>N23*O23</f>
        <v>7592</v>
      </c>
      <c r="S23" s="13">
        <f>N23*P23</f>
        <v>13500</v>
      </c>
    </row>
    <row r="24" spans="1:19">
      <c r="A24" s="14" t="s">
        <v>86</v>
      </c>
      <c r="B24" s="4">
        <v>44550</v>
      </c>
      <c r="C24" s="5">
        <v>20</v>
      </c>
      <c r="D24" s="5" t="s">
        <v>59</v>
      </c>
      <c r="E24" s="5">
        <v>2021</v>
      </c>
      <c r="F24" s="5">
        <v>57</v>
      </c>
      <c r="G24" s="6" t="s">
        <v>30</v>
      </c>
      <c r="H24" s="5" t="s">
        <v>42</v>
      </c>
      <c r="I24" s="5" t="s">
        <v>4</v>
      </c>
      <c r="J24" s="5" t="s">
        <v>64</v>
      </c>
      <c r="K24" s="5" t="s">
        <v>61</v>
      </c>
      <c r="L24" s="5" t="s">
        <v>39</v>
      </c>
      <c r="M24" s="7" t="s">
        <v>24</v>
      </c>
      <c r="N24" s="5">
        <v>4</v>
      </c>
      <c r="O24" s="8">
        <v>1252</v>
      </c>
      <c r="P24" s="8">
        <v>2295</v>
      </c>
      <c r="Q24" s="8">
        <v>4172</v>
      </c>
      <c r="R24" s="8">
        <f>N24*O24</f>
        <v>5008</v>
      </c>
      <c r="S24" s="8">
        <f>N24*P24</f>
        <v>9180</v>
      </c>
    </row>
    <row r="25" spans="1:19">
      <c r="A25" s="15" t="s">
        <v>87</v>
      </c>
      <c r="B25" s="9">
        <v>44550</v>
      </c>
      <c r="C25" s="10">
        <v>20</v>
      </c>
      <c r="D25" s="10" t="s">
        <v>59</v>
      </c>
      <c r="E25" s="10">
        <v>2021</v>
      </c>
      <c r="F25" s="10">
        <v>35</v>
      </c>
      <c r="G25" s="11" t="s">
        <v>30</v>
      </c>
      <c r="H25" s="10" t="s">
        <v>38</v>
      </c>
      <c r="I25" s="10" t="s">
        <v>4</v>
      </c>
      <c r="J25" s="10" t="s">
        <v>64</v>
      </c>
      <c r="K25" s="10" t="s">
        <v>61</v>
      </c>
      <c r="L25" s="10" t="s">
        <v>39</v>
      </c>
      <c r="M25" s="12" t="s">
        <v>13</v>
      </c>
      <c r="N25" s="10">
        <v>1</v>
      </c>
      <c r="O25" s="13">
        <v>1266</v>
      </c>
      <c r="P25" s="13">
        <v>2320</v>
      </c>
      <c r="Q25" s="13">
        <v>1054</v>
      </c>
      <c r="R25" s="13">
        <f>N25*O25</f>
        <v>1266</v>
      </c>
      <c r="S25" s="13">
        <f>N25*P25</f>
        <v>2320</v>
      </c>
    </row>
    <row r="26" spans="1:19">
      <c r="A26" s="14" t="s">
        <v>88</v>
      </c>
      <c r="B26" s="4">
        <v>44550</v>
      </c>
      <c r="C26" s="5">
        <v>20</v>
      </c>
      <c r="D26" s="5" t="s">
        <v>59</v>
      </c>
      <c r="E26" s="5">
        <v>2021</v>
      </c>
      <c r="F26" s="5">
        <v>35</v>
      </c>
      <c r="G26" s="6" t="s">
        <v>30</v>
      </c>
      <c r="H26" s="5" t="s">
        <v>42</v>
      </c>
      <c r="I26" s="5" t="s">
        <v>4</v>
      </c>
      <c r="J26" s="5" t="s">
        <v>68</v>
      </c>
      <c r="K26" s="5" t="s">
        <v>61</v>
      </c>
      <c r="L26" s="5" t="s">
        <v>39</v>
      </c>
      <c r="M26" s="7" t="s">
        <v>13</v>
      </c>
      <c r="N26" s="5">
        <v>1</v>
      </c>
      <c r="O26" s="8">
        <v>1266</v>
      </c>
      <c r="P26" s="8">
        <v>2320</v>
      </c>
      <c r="Q26" s="8">
        <v>1054</v>
      </c>
      <c r="R26" s="8">
        <f>N26*O26</f>
        <v>1266</v>
      </c>
      <c r="S26" s="8">
        <f>N26*P26</f>
        <v>2320</v>
      </c>
    </row>
    <row r="27" spans="1:19">
      <c r="A27" s="15" t="s">
        <v>89</v>
      </c>
      <c r="B27" s="9">
        <v>44552</v>
      </c>
      <c r="C27" s="10">
        <v>22</v>
      </c>
      <c r="D27" s="10" t="s">
        <v>59</v>
      </c>
      <c r="E27" s="10">
        <v>2021</v>
      </c>
      <c r="F27" s="10">
        <v>19</v>
      </c>
      <c r="G27" s="11" t="s">
        <v>11</v>
      </c>
      <c r="H27" s="10" t="s">
        <v>38</v>
      </c>
      <c r="I27" s="10" t="s">
        <v>4</v>
      </c>
      <c r="J27" s="10" t="s">
        <v>60</v>
      </c>
      <c r="K27" s="10" t="s">
        <v>61</v>
      </c>
      <c r="L27" s="10" t="s">
        <v>39</v>
      </c>
      <c r="M27" s="12" t="s">
        <v>18</v>
      </c>
      <c r="N27" s="10">
        <v>1</v>
      </c>
      <c r="O27" s="13">
        <v>308</v>
      </c>
      <c r="P27" s="13">
        <v>565</v>
      </c>
      <c r="Q27" s="13">
        <v>257</v>
      </c>
      <c r="R27" s="13">
        <f>N27*O27</f>
        <v>308</v>
      </c>
      <c r="S27" s="13">
        <f>N27*P27</f>
        <v>565</v>
      </c>
    </row>
    <row r="28" spans="1:19">
      <c r="A28" s="14" t="s">
        <v>90</v>
      </c>
      <c r="B28" s="4">
        <v>44554</v>
      </c>
      <c r="C28" s="5">
        <v>24</v>
      </c>
      <c r="D28" s="5" t="s">
        <v>59</v>
      </c>
      <c r="E28" s="5">
        <v>2021</v>
      </c>
      <c r="F28" s="5">
        <v>38</v>
      </c>
      <c r="G28" s="6" t="s">
        <v>30</v>
      </c>
      <c r="H28" s="5" t="s">
        <v>42</v>
      </c>
      <c r="I28" s="5" t="s">
        <v>4</v>
      </c>
      <c r="J28" s="5" t="s">
        <v>64</v>
      </c>
      <c r="K28" s="5" t="s">
        <v>61</v>
      </c>
      <c r="L28" s="5" t="s">
        <v>39</v>
      </c>
      <c r="M28" s="7" t="s">
        <v>23</v>
      </c>
      <c r="N28" s="5">
        <v>4</v>
      </c>
      <c r="O28" s="8">
        <v>1252</v>
      </c>
      <c r="P28" s="8">
        <v>2295</v>
      </c>
      <c r="Q28" s="8">
        <v>4172</v>
      </c>
      <c r="R28" s="8">
        <f>N28*O28</f>
        <v>5008</v>
      </c>
      <c r="S28" s="8">
        <f>N28*P28</f>
        <v>9180</v>
      </c>
    </row>
    <row r="29" spans="1:19">
      <c r="A29" s="15" t="s">
        <v>91</v>
      </c>
      <c r="B29" s="9">
        <v>44536</v>
      </c>
      <c r="C29" s="10">
        <v>6</v>
      </c>
      <c r="D29" s="10" t="s">
        <v>59</v>
      </c>
      <c r="E29" s="10">
        <v>2021</v>
      </c>
      <c r="F29" s="10">
        <v>27</v>
      </c>
      <c r="G29" s="11" t="s">
        <v>20</v>
      </c>
      <c r="H29" s="10" t="s">
        <v>42</v>
      </c>
      <c r="I29" s="10" t="s">
        <v>5</v>
      </c>
      <c r="J29" s="10" t="s">
        <v>92</v>
      </c>
      <c r="K29" s="10" t="s">
        <v>61</v>
      </c>
      <c r="L29" s="10" t="s">
        <v>39</v>
      </c>
      <c r="M29" s="12" t="s">
        <v>24</v>
      </c>
      <c r="N29" s="10">
        <v>1</v>
      </c>
      <c r="O29" s="13">
        <v>1252</v>
      </c>
      <c r="P29" s="13">
        <v>2295</v>
      </c>
      <c r="Q29" s="13">
        <v>1043</v>
      </c>
      <c r="R29" s="13">
        <f>N29*O29</f>
        <v>1252</v>
      </c>
      <c r="S29" s="13">
        <f>N29*P29</f>
        <v>2295</v>
      </c>
    </row>
    <row r="30" spans="1:19">
      <c r="A30" s="14" t="s">
        <v>93</v>
      </c>
      <c r="B30" s="4">
        <v>44538</v>
      </c>
      <c r="C30" s="5">
        <v>8</v>
      </c>
      <c r="D30" s="5" t="s">
        <v>59</v>
      </c>
      <c r="E30" s="5">
        <v>2021</v>
      </c>
      <c r="F30" s="5">
        <v>30</v>
      </c>
      <c r="G30" s="6" t="s">
        <v>20</v>
      </c>
      <c r="H30" s="5" t="s">
        <v>38</v>
      </c>
      <c r="I30" s="5" t="s">
        <v>5</v>
      </c>
      <c r="J30" s="5" t="s">
        <v>92</v>
      </c>
      <c r="K30" s="5" t="s">
        <v>61</v>
      </c>
      <c r="L30" s="5" t="s">
        <v>39</v>
      </c>
      <c r="M30" s="7" t="s">
        <v>13</v>
      </c>
      <c r="N30" s="5">
        <v>4</v>
      </c>
      <c r="O30" s="8">
        <v>1266</v>
      </c>
      <c r="P30" s="8">
        <v>2320</v>
      </c>
      <c r="Q30" s="8">
        <v>4216</v>
      </c>
      <c r="R30" s="8">
        <f>N30*O30</f>
        <v>5064</v>
      </c>
      <c r="S30" s="8">
        <f>N30*P30</f>
        <v>9280</v>
      </c>
    </row>
    <row r="31" spans="1:19">
      <c r="A31" s="15" t="s">
        <v>94</v>
      </c>
      <c r="B31" s="9">
        <v>44541</v>
      </c>
      <c r="C31" s="10">
        <v>11</v>
      </c>
      <c r="D31" s="10" t="s">
        <v>59</v>
      </c>
      <c r="E31" s="10">
        <v>2021</v>
      </c>
      <c r="F31" s="10">
        <v>27</v>
      </c>
      <c r="G31" s="11" t="s">
        <v>20</v>
      </c>
      <c r="H31" s="10" t="s">
        <v>42</v>
      </c>
      <c r="I31" s="10" t="s">
        <v>5</v>
      </c>
      <c r="J31" s="10" t="s">
        <v>92</v>
      </c>
      <c r="K31" s="10" t="s">
        <v>61</v>
      </c>
      <c r="L31" s="10" t="s">
        <v>39</v>
      </c>
      <c r="M31" s="12" t="s">
        <v>24</v>
      </c>
      <c r="N31" s="10">
        <v>1</v>
      </c>
      <c r="O31" s="13">
        <v>1252</v>
      </c>
      <c r="P31" s="13">
        <v>2295</v>
      </c>
      <c r="Q31" s="13">
        <v>1043</v>
      </c>
      <c r="R31" s="13">
        <f>N31*O31</f>
        <v>1252</v>
      </c>
      <c r="S31" s="13">
        <f>N31*P31</f>
        <v>2295</v>
      </c>
    </row>
    <row r="32" spans="1:19">
      <c r="A32" s="14" t="s">
        <v>95</v>
      </c>
      <c r="B32" s="4">
        <v>44550</v>
      </c>
      <c r="C32" s="5">
        <v>20</v>
      </c>
      <c r="D32" s="5" t="s">
        <v>59</v>
      </c>
      <c r="E32" s="5">
        <v>2021</v>
      </c>
      <c r="F32" s="5">
        <v>29</v>
      </c>
      <c r="G32" s="6" t="s">
        <v>20</v>
      </c>
      <c r="H32" s="5" t="s">
        <v>42</v>
      </c>
      <c r="I32" s="5" t="s">
        <v>5</v>
      </c>
      <c r="J32" s="5" t="s">
        <v>92</v>
      </c>
      <c r="K32" s="5" t="s">
        <v>61</v>
      </c>
      <c r="L32" s="5" t="s">
        <v>39</v>
      </c>
      <c r="M32" s="7" t="s">
        <v>28</v>
      </c>
      <c r="N32" s="5">
        <v>3</v>
      </c>
      <c r="O32" s="8">
        <v>295</v>
      </c>
      <c r="P32" s="8">
        <v>540</v>
      </c>
      <c r="Q32" s="8">
        <v>735</v>
      </c>
      <c r="R32" s="8">
        <f>N32*O32</f>
        <v>885</v>
      </c>
      <c r="S32" s="8">
        <f>N32*P32</f>
        <v>1620</v>
      </c>
    </row>
    <row r="33" spans="1:21">
      <c r="A33" s="15" t="s">
        <v>96</v>
      </c>
      <c r="B33" s="9">
        <v>44552</v>
      </c>
      <c r="C33" s="10">
        <v>22</v>
      </c>
      <c r="D33" s="10" t="s">
        <v>59</v>
      </c>
      <c r="E33" s="10">
        <v>2021</v>
      </c>
      <c r="F33" s="10">
        <v>27</v>
      </c>
      <c r="G33" s="11" t="s">
        <v>20</v>
      </c>
      <c r="H33" s="10" t="s">
        <v>38</v>
      </c>
      <c r="I33" s="10" t="s">
        <v>5</v>
      </c>
      <c r="J33" s="10" t="s">
        <v>92</v>
      </c>
      <c r="K33" s="10" t="s">
        <v>61</v>
      </c>
      <c r="L33" s="10" t="s">
        <v>39</v>
      </c>
      <c r="M33" s="12" t="s">
        <v>24</v>
      </c>
      <c r="N33" s="10">
        <v>1</v>
      </c>
      <c r="O33" s="13">
        <v>1252</v>
      </c>
      <c r="P33" s="13">
        <v>2295</v>
      </c>
      <c r="Q33" s="13">
        <v>1043</v>
      </c>
      <c r="R33" s="13">
        <f>N33*O33</f>
        <v>1252</v>
      </c>
      <c r="S33" s="13">
        <f>N33*P33</f>
        <v>2295</v>
      </c>
    </row>
    <row r="34" spans="1:21">
      <c r="A34" s="14" t="s">
        <v>97</v>
      </c>
      <c r="B34" s="4">
        <v>44553</v>
      </c>
      <c r="C34" s="5">
        <v>23</v>
      </c>
      <c r="D34" s="5" t="s">
        <v>59</v>
      </c>
      <c r="E34" s="5">
        <v>2021</v>
      </c>
      <c r="F34" s="5">
        <v>31</v>
      </c>
      <c r="G34" s="6" t="s">
        <v>20</v>
      </c>
      <c r="H34" s="5" t="s">
        <v>38</v>
      </c>
      <c r="I34" s="5" t="s">
        <v>5</v>
      </c>
      <c r="J34" s="5" t="s">
        <v>92</v>
      </c>
      <c r="K34" s="5" t="s">
        <v>61</v>
      </c>
      <c r="L34" s="5" t="s">
        <v>39</v>
      </c>
      <c r="M34" s="7" t="s">
        <v>23</v>
      </c>
      <c r="N34" s="5">
        <v>1</v>
      </c>
      <c r="O34" s="8">
        <v>1252</v>
      </c>
      <c r="P34" s="8">
        <v>2295</v>
      </c>
      <c r="Q34" s="8">
        <v>1043</v>
      </c>
      <c r="R34" s="8">
        <f>N34*O34</f>
        <v>1252</v>
      </c>
      <c r="S34" s="8">
        <f>N34*P34</f>
        <v>2295</v>
      </c>
    </row>
    <row r="35" spans="1:21">
      <c r="A35" s="15" t="s">
        <v>98</v>
      </c>
      <c r="B35" s="9">
        <v>44541</v>
      </c>
      <c r="C35" s="10">
        <v>11</v>
      </c>
      <c r="D35" s="10" t="s">
        <v>59</v>
      </c>
      <c r="E35" s="10">
        <v>2021</v>
      </c>
      <c r="F35" s="10">
        <v>24</v>
      </c>
      <c r="G35" s="11" t="s">
        <v>11</v>
      </c>
      <c r="H35" s="10" t="s">
        <v>38</v>
      </c>
      <c r="I35" s="10" t="s">
        <v>6</v>
      </c>
      <c r="J35" s="10" t="s">
        <v>99</v>
      </c>
      <c r="K35" s="10" t="s">
        <v>61</v>
      </c>
      <c r="L35" s="10" t="s">
        <v>39</v>
      </c>
      <c r="M35" s="12" t="s">
        <v>12</v>
      </c>
      <c r="N35" s="10">
        <v>3</v>
      </c>
      <c r="O35" s="13">
        <v>1252</v>
      </c>
      <c r="P35" s="13">
        <v>2295</v>
      </c>
      <c r="Q35" s="13">
        <v>3129</v>
      </c>
      <c r="R35" s="13">
        <f>N35*O35</f>
        <v>3756</v>
      </c>
      <c r="S35" s="13">
        <f>N35*P35</f>
        <v>6885</v>
      </c>
    </row>
    <row r="36" spans="1:21">
      <c r="A36" s="14" t="s">
        <v>100</v>
      </c>
      <c r="B36" s="4">
        <v>44546</v>
      </c>
      <c r="C36" s="5">
        <v>16</v>
      </c>
      <c r="D36" s="5" t="s">
        <v>59</v>
      </c>
      <c r="E36" s="5">
        <v>2021</v>
      </c>
      <c r="F36" s="5">
        <v>27</v>
      </c>
      <c r="G36" s="6" t="s">
        <v>20</v>
      </c>
      <c r="H36" s="5" t="s">
        <v>38</v>
      </c>
      <c r="I36" s="5" t="s">
        <v>6</v>
      </c>
      <c r="J36" s="5" t="s">
        <v>101</v>
      </c>
      <c r="K36" s="5" t="s">
        <v>61</v>
      </c>
      <c r="L36" s="5" t="s">
        <v>39</v>
      </c>
      <c r="M36" s="7" t="s">
        <v>14</v>
      </c>
      <c r="N36" s="5">
        <v>1</v>
      </c>
      <c r="O36" s="8">
        <v>1266</v>
      </c>
      <c r="P36" s="8">
        <v>2320</v>
      </c>
      <c r="Q36" s="8">
        <v>1054</v>
      </c>
      <c r="R36" s="8">
        <f>N36*O36</f>
        <v>1266</v>
      </c>
      <c r="S36" s="8">
        <f>N36*P36</f>
        <v>2320</v>
      </c>
    </row>
    <row r="37" spans="1:21">
      <c r="A37" s="15" t="s">
        <v>102</v>
      </c>
      <c r="B37" s="9">
        <v>44548</v>
      </c>
      <c r="C37" s="10">
        <v>18</v>
      </c>
      <c r="D37" s="10" t="s">
        <v>59</v>
      </c>
      <c r="E37" s="10">
        <v>2021</v>
      </c>
      <c r="F37" s="10">
        <v>24</v>
      </c>
      <c r="G37" s="11" t="s">
        <v>11</v>
      </c>
      <c r="H37" s="10" t="s">
        <v>38</v>
      </c>
      <c r="I37" s="10" t="s">
        <v>6</v>
      </c>
      <c r="J37" s="10" t="s">
        <v>103</v>
      </c>
      <c r="K37" s="10" t="s">
        <v>61</v>
      </c>
      <c r="L37" s="10" t="s">
        <v>39</v>
      </c>
      <c r="M37" s="12" t="s">
        <v>13</v>
      </c>
      <c r="N37" s="10">
        <v>3</v>
      </c>
      <c r="O37" s="13">
        <v>1266</v>
      </c>
      <c r="P37" s="13">
        <v>2320</v>
      </c>
      <c r="Q37" s="13">
        <v>3162</v>
      </c>
      <c r="R37" s="13">
        <f>N37*O37</f>
        <v>3798</v>
      </c>
      <c r="S37" s="13">
        <f>N37*P37</f>
        <v>6960</v>
      </c>
    </row>
    <row r="38" spans="1:21">
      <c r="A38" s="14" t="s">
        <v>104</v>
      </c>
      <c r="B38" s="4">
        <v>44548</v>
      </c>
      <c r="C38" s="5">
        <v>18</v>
      </c>
      <c r="D38" s="5" t="s">
        <v>59</v>
      </c>
      <c r="E38" s="5">
        <v>2021</v>
      </c>
      <c r="F38" s="5">
        <v>26</v>
      </c>
      <c r="G38" s="6" t="s">
        <v>20</v>
      </c>
      <c r="H38" s="5" t="s">
        <v>42</v>
      </c>
      <c r="I38" s="5" t="s">
        <v>6</v>
      </c>
      <c r="J38" s="5" t="s">
        <v>99</v>
      </c>
      <c r="K38" s="5" t="s">
        <v>61</v>
      </c>
      <c r="L38" s="5" t="s">
        <v>39</v>
      </c>
      <c r="M38" s="7" t="s">
        <v>24</v>
      </c>
      <c r="N38" s="5">
        <v>1</v>
      </c>
      <c r="O38" s="8">
        <v>1252</v>
      </c>
      <c r="P38" s="8">
        <v>2295</v>
      </c>
      <c r="Q38" s="8">
        <v>1043</v>
      </c>
      <c r="R38" s="8">
        <f>N38*O38</f>
        <v>1252</v>
      </c>
      <c r="S38" s="8">
        <f>N38*P38</f>
        <v>2295</v>
      </c>
    </row>
    <row r="39" spans="1:21">
      <c r="A39" s="15" t="s">
        <v>105</v>
      </c>
      <c r="B39" s="9">
        <v>44549</v>
      </c>
      <c r="C39" s="10">
        <v>19</v>
      </c>
      <c r="D39" s="10" t="s">
        <v>59</v>
      </c>
      <c r="E39" s="10">
        <v>2021</v>
      </c>
      <c r="F39" s="10">
        <v>17</v>
      </c>
      <c r="G39" s="11" t="s">
        <v>11</v>
      </c>
      <c r="H39" s="10" t="s">
        <v>42</v>
      </c>
      <c r="I39" s="10" t="s">
        <v>6</v>
      </c>
      <c r="J39" s="10" t="s">
        <v>106</v>
      </c>
      <c r="K39" s="10" t="s">
        <v>61</v>
      </c>
      <c r="L39" s="10" t="s">
        <v>39</v>
      </c>
      <c r="M39" s="12" t="s">
        <v>14</v>
      </c>
      <c r="N39" s="10">
        <v>4</v>
      </c>
      <c r="O39" s="13">
        <v>1266</v>
      </c>
      <c r="P39" s="13">
        <v>2320</v>
      </c>
      <c r="Q39" s="13">
        <v>4216</v>
      </c>
      <c r="R39" s="13">
        <f>N39*O39</f>
        <v>5064</v>
      </c>
      <c r="S39" s="13">
        <f>N39*P39</f>
        <v>9280</v>
      </c>
    </row>
    <row r="40" spans="1:21">
      <c r="A40" s="14" t="s">
        <v>107</v>
      </c>
      <c r="B40" s="4">
        <v>44549</v>
      </c>
      <c r="C40" s="5">
        <v>19</v>
      </c>
      <c r="D40" s="5" t="s">
        <v>59</v>
      </c>
      <c r="E40" s="5">
        <v>2021</v>
      </c>
      <c r="F40" s="5">
        <v>25</v>
      </c>
      <c r="G40" s="6" t="s">
        <v>20</v>
      </c>
      <c r="H40" s="5" t="s">
        <v>42</v>
      </c>
      <c r="I40" s="5" t="s">
        <v>6</v>
      </c>
      <c r="J40" s="5" t="s">
        <v>99</v>
      </c>
      <c r="K40" s="5" t="s">
        <v>61</v>
      </c>
      <c r="L40" s="5" t="s">
        <v>39</v>
      </c>
      <c r="M40" s="7" t="s">
        <v>12</v>
      </c>
      <c r="N40" s="5">
        <v>4</v>
      </c>
      <c r="O40" s="8">
        <v>1252</v>
      </c>
      <c r="P40" s="8">
        <v>2295</v>
      </c>
      <c r="Q40" s="8">
        <v>4172</v>
      </c>
      <c r="R40" s="8">
        <f>N40*O40</f>
        <v>5008</v>
      </c>
      <c r="S40" s="8">
        <f>N40*P40</f>
        <v>9180</v>
      </c>
    </row>
    <row r="41" spans="1:21">
      <c r="A41" s="15" t="s">
        <v>108</v>
      </c>
      <c r="B41" s="9">
        <v>44551</v>
      </c>
      <c r="C41" s="10">
        <v>21</v>
      </c>
      <c r="D41" s="10" t="s">
        <v>59</v>
      </c>
      <c r="E41" s="10">
        <v>2021</v>
      </c>
      <c r="F41" s="10">
        <v>26</v>
      </c>
      <c r="G41" s="11" t="s">
        <v>20</v>
      </c>
      <c r="H41" s="10" t="s">
        <v>42</v>
      </c>
      <c r="I41" s="10" t="s">
        <v>6</v>
      </c>
      <c r="J41" s="10" t="s">
        <v>109</v>
      </c>
      <c r="K41" s="10" t="s">
        <v>61</v>
      </c>
      <c r="L41" s="10" t="s">
        <v>39</v>
      </c>
      <c r="M41" s="12" t="s">
        <v>13</v>
      </c>
      <c r="N41" s="10">
        <v>3</v>
      </c>
      <c r="O41" s="13">
        <v>1266</v>
      </c>
      <c r="P41" s="13">
        <v>2320</v>
      </c>
      <c r="Q41" s="13">
        <v>3162</v>
      </c>
      <c r="R41" s="13">
        <f>N41*O41</f>
        <v>3798</v>
      </c>
      <c r="S41" s="13">
        <f>N41*P41</f>
        <v>6960</v>
      </c>
    </row>
    <row r="42" spans="1:21">
      <c r="A42" s="14" t="s">
        <v>110</v>
      </c>
      <c r="B42" s="4">
        <v>44552</v>
      </c>
      <c r="C42" s="5">
        <v>22</v>
      </c>
      <c r="D42" s="5" t="s">
        <v>59</v>
      </c>
      <c r="E42" s="5">
        <v>2021</v>
      </c>
      <c r="F42" s="5">
        <v>25</v>
      </c>
      <c r="G42" s="6" t="s">
        <v>20</v>
      </c>
      <c r="H42" s="5" t="s">
        <v>42</v>
      </c>
      <c r="I42" s="5" t="s">
        <v>6</v>
      </c>
      <c r="J42" s="5" t="s">
        <v>99</v>
      </c>
      <c r="K42" s="5" t="s">
        <v>61</v>
      </c>
      <c r="L42" s="5" t="s">
        <v>39</v>
      </c>
      <c r="M42" s="7" t="s">
        <v>12</v>
      </c>
      <c r="N42" s="5">
        <v>1</v>
      </c>
      <c r="O42" s="8">
        <v>1252</v>
      </c>
      <c r="P42" s="8">
        <v>2295</v>
      </c>
      <c r="Q42" s="8">
        <v>1043</v>
      </c>
      <c r="R42" s="8">
        <f>N42*O42</f>
        <v>1252</v>
      </c>
      <c r="S42" s="8">
        <f>N42*P42</f>
        <v>2295</v>
      </c>
    </row>
    <row r="43" spans="1:21">
      <c r="A43" s="15" t="s">
        <v>111</v>
      </c>
      <c r="B43" s="9">
        <v>44535</v>
      </c>
      <c r="C43" s="10"/>
      <c r="D43" s="10" t="s">
        <v>59</v>
      </c>
      <c r="E43" s="10">
        <v>2021</v>
      </c>
      <c r="F43" s="10">
        <v>42</v>
      </c>
      <c r="G43" s="11" t="s">
        <v>30</v>
      </c>
      <c r="H43" s="10" t="s">
        <v>42</v>
      </c>
      <c r="I43" s="10" t="s">
        <v>7</v>
      </c>
      <c r="J43" s="10" t="s">
        <v>112</v>
      </c>
      <c r="K43" s="10" t="s">
        <v>61</v>
      </c>
      <c r="L43" s="10" t="s">
        <v>39</v>
      </c>
      <c r="M43" s="12" t="s">
        <v>12</v>
      </c>
      <c r="N43" s="10">
        <v>4</v>
      </c>
      <c r="O43" s="13">
        <v>1252</v>
      </c>
      <c r="P43" s="13">
        <v>2295</v>
      </c>
      <c r="Q43" s="13">
        <v>4172</v>
      </c>
      <c r="R43" s="13">
        <f>N43*O43</f>
        <v>5008</v>
      </c>
      <c r="S43" s="13">
        <f>N43*P43</f>
        <v>9180</v>
      </c>
    </row>
    <row r="44" spans="1:21">
      <c r="A44" s="14" t="s">
        <v>113</v>
      </c>
      <c r="B44" s="4">
        <v>44539</v>
      </c>
      <c r="C44" s="5">
        <v>9</v>
      </c>
      <c r="D44" s="5" t="s">
        <v>59</v>
      </c>
      <c r="E44" s="5">
        <v>2021</v>
      </c>
      <c r="F44" s="5">
        <v>41</v>
      </c>
      <c r="G44" s="6" t="s">
        <v>30</v>
      </c>
      <c r="H44" s="5" t="s">
        <v>38</v>
      </c>
      <c r="I44" s="5" t="s">
        <v>7</v>
      </c>
      <c r="J44" s="5" t="s">
        <v>114</v>
      </c>
      <c r="K44" s="5" t="s">
        <v>61</v>
      </c>
      <c r="L44" s="5" t="s">
        <v>39</v>
      </c>
      <c r="M44" s="7" t="s">
        <v>25</v>
      </c>
      <c r="N44" s="5">
        <v>1</v>
      </c>
      <c r="O44" s="8">
        <v>1266</v>
      </c>
      <c r="P44" s="8">
        <v>2320</v>
      </c>
      <c r="Q44" s="8">
        <v>1054</v>
      </c>
      <c r="R44" s="8">
        <f>N44*O44</f>
        <v>1266</v>
      </c>
      <c r="S44" s="8">
        <f>N44*P44</f>
        <v>2320</v>
      </c>
    </row>
    <row r="45" spans="1:21">
      <c r="A45" s="15" t="s">
        <v>115</v>
      </c>
      <c r="B45" s="9">
        <v>44547</v>
      </c>
      <c r="C45" s="10">
        <v>17</v>
      </c>
      <c r="D45" s="10" t="s">
        <v>59</v>
      </c>
      <c r="E45" s="10">
        <v>2021</v>
      </c>
      <c r="F45" s="10">
        <v>42</v>
      </c>
      <c r="G45" s="11" t="s">
        <v>30</v>
      </c>
      <c r="H45" s="10" t="s">
        <v>38</v>
      </c>
      <c r="I45" s="10" t="s">
        <v>7</v>
      </c>
      <c r="J45" s="10" t="s">
        <v>112</v>
      </c>
      <c r="K45" s="10" t="s">
        <v>61</v>
      </c>
      <c r="L45" s="10" t="s">
        <v>39</v>
      </c>
      <c r="M45" s="12" t="s">
        <v>14</v>
      </c>
      <c r="N45" s="10">
        <v>1</v>
      </c>
      <c r="O45" s="13">
        <v>1266</v>
      </c>
      <c r="P45" s="13">
        <v>2320</v>
      </c>
      <c r="Q45" s="13">
        <v>1054</v>
      </c>
      <c r="R45" s="13">
        <f>N45*O45</f>
        <v>1266</v>
      </c>
      <c r="S45" s="13">
        <f>N45*P45</f>
        <v>2320</v>
      </c>
      <c r="U45" t="str" cm="1">
        <f t="array" ref="U45:U50">_xlfn.UNIQUE($I$2:$I$89)</f>
        <v>Australia</v>
      </c>
    </row>
    <row r="46" spans="1:21">
      <c r="A46" s="14" t="s">
        <v>116</v>
      </c>
      <c r="B46" s="4">
        <v>44548</v>
      </c>
      <c r="C46" s="5">
        <v>18</v>
      </c>
      <c r="D46" s="5" t="s">
        <v>59</v>
      </c>
      <c r="E46" s="5">
        <v>2021</v>
      </c>
      <c r="F46" s="5">
        <v>38</v>
      </c>
      <c r="G46" s="6" t="s">
        <v>30</v>
      </c>
      <c r="H46" s="5" t="s">
        <v>38</v>
      </c>
      <c r="I46" s="5" t="s">
        <v>7</v>
      </c>
      <c r="J46" s="5" t="s">
        <v>112</v>
      </c>
      <c r="K46" s="5" t="s">
        <v>61</v>
      </c>
      <c r="L46" s="5" t="s">
        <v>39</v>
      </c>
      <c r="M46" s="7" t="s">
        <v>14</v>
      </c>
      <c r="N46" s="5">
        <v>4</v>
      </c>
      <c r="O46" s="8">
        <v>1266</v>
      </c>
      <c r="P46" s="8">
        <v>2320</v>
      </c>
      <c r="Q46" s="8">
        <v>4216</v>
      </c>
      <c r="R46" s="8">
        <f>N46*O46</f>
        <v>5064</v>
      </c>
      <c r="S46" s="8">
        <f>N46*P46</f>
        <v>9280</v>
      </c>
      <c r="U46" t="str">
        <v>Canada</v>
      </c>
    </row>
    <row r="47" spans="1:21">
      <c r="A47" s="15" t="s">
        <v>117</v>
      </c>
      <c r="B47" s="9">
        <v>44549</v>
      </c>
      <c r="C47" s="10">
        <v>19</v>
      </c>
      <c r="D47" s="10" t="s">
        <v>59</v>
      </c>
      <c r="E47" s="10">
        <v>2021</v>
      </c>
      <c r="F47" s="10">
        <v>56</v>
      </c>
      <c r="G47" s="11" t="s">
        <v>30</v>
      </c>
      <c r="H47" s="10" t="s">
        <v>38</v>
      </c>
      <c r="I47" s="10" t="s">
        <v>7</v>
      </c>
      <c r="J47" s="10" t="s">
        <v>118</v>
      </c>
      <c r="K47" s="10" t="s">
        <v>61</v>
      </c>
      <c r="L47" s="10" t="s">
        <v>39</v>
      </c>
      <c r="M47" s="12" t="s">
        <v>24</v>
      </c>
      <c r="N47" s="10">
        <v>2</v>
      </c>
      <c r="O47" s="13">
        <v>1252</v>
      </c>
      <c r="P47" s="13">
        <v>2295</v>
      </c>
      <c r="Q47" s="13">
        <v>2086</v>
      </c>
      <c r="R47" s="13">
        <f>N47*O47</f>
        <v>2504</v>
      </c>
      <c r="S47" s="13">
        <f>N47*P47</f>
        <v>4590</v>
      </c>
      <c r="U47" t="str">
        <v>France</v>
      </c>
    </row>
    <row r="48" spans="1:21">
      <c r="A48" s="14" t="s">
        <v>119</v>
      </c>
      <c r="B48" s="4">
        <v>44552</v>
      </c>
      <c r="C48" s="5">
        <v>22</v>
      </c>
      <c r="D48" s="5" t="s">
        <v>59</v>
      </c>
      <c r="E48" s="5">
        <v>2021</v>
      </c>
      <c r="F48" s="5">
        <v>41</v>
      </c>
      <c r="G48" s="6" t="s">
        <v>30</v>
      </c>
      <c r="H48" s="5" t="s">
        <v>42</v>
      </c>
      <c r="I48" s="5" t="s">
        <v>7</v>
      </c>
      <c r="J48" s="5" t="s">
        <v>118</v>
      </c>
      <c r="K48" s="5" t="s">
        <v>61</v>
      </c>
      <c r="L48" s="5" t="s">
        <v>39</v>
      </c>
      <c r="M48" s="7" t="s">
        <v>13</v>
      </c>
      <c r="N48" s="5">
        <v>1</v>
      </c>
      <c r="O48" s="8">
        <v>1266</v>
      </c>
      <c r="P48" s="8">
        <v>2320</v>
      </c>
      <c r="Q48" s="8">
        <v>1054</v>
      </c>
      <c r="R48" s="8">
        <f>N48*O48</f>
        <v>1266</v>
      </c>
      <c r="S48" s="8">
        <f>N48*P48</f>
        <v>2320</v>
      </c>
      <c r="U48" t="str">
        <v>Germany</v>
      </c>
    </row>
    <row r="49" spans="1:21">
      <c r="A49" s="15" t="s">
        <v>120</v>
      </c>
      <c r="B49" s="9">
        <v>44531</v>
      </c>
      <c r="C49" s="10">
        <v>1</v>
      </c>
      <c r="D49" s="10" t="s">
        <v>59</v>
      </c>
      <c r="E49" s="10">
        <v>2021</v>
      </c>
      <c r="F49" s="10">
        <v>44</v>
      </c>
      <c r="G49" s="11" t="s">
        <v>30</v>
      </c>
      <c r="H49" s="10" t="s">
        <v>42</v>
      </c>
      <c r="I49" s="10" t="s">
        <v>8</v>
      </c>
      <c r="J49" s="10" t="s">
        <v>121</v>
      </c>
      <c r="K49" s="10" t="s">
        <v>61</v>
      </c>
      <c r="L49" s="10" t="s">
        <v>39</v>
      </c>
      <c r="M49" s="12" t="s">
        <v>25</v>
      </c>
      <c r="N49" s="10">
        <v>1</v>
      </c>
      <c r="O49" s="13">
        <v>1266</v>
      </c>
      <c r="P49" s="13">
        <v>2320</v>
      </c>
      <c r="Q49" s="13">
        <v>1054</v>
      </c>
      <c r="R49" s="13">
        <f>N49*O49</f>
        <v>1266</v>
      </c>
      <c r="S49" s="13">
        <f>N49*P49</f>
        <v>2320</v>
      </c>
      <c r="U49" t="str">
        <v>United Kingdom</v>
      </c>
    </row>
    <row r="50" spans="1:21">
      <c r="A50" s="14" t="s">
        <v>122</v>
      </c>
      <c r="B50" s="4">
        <v>44533</v>
      </c>
      <c r="C50" s="5">
        <v>3</v>
      </c>
      <c r="D50" s="5" t="s">
        <v>59</v>
      </c>
      <c r="E50" s="5">
        <v>2021</v>
      </c>
      <c r="F50" s="5">
        <v>24</v>
      </c>
      <c r="G50" s="6" t="s">
        <v>11</v>
      </c>
      <c r="H50" s="5" t="s">
        <v>38</v>
      </c>
      <c r="I50" s="5" t="s">
        <v>8</v>
      </c>
      <c r="J50" s="5" t="s">
        <v>121</v>
      </c>
      <c r="K50" s="5" t="s">
        <v>61</v>
      </c>
      <c r="L50" s="5" t="s">
        <v>39</v>
      </c>
      <c r="M50" s="7" t="s">
        <v>12</v>
      </c>
      <c r="N50" s="5">
        <v>1</v>
      </c>
      <c r="O50" s="8">
        <v>1252</v>
      </c>
      <c r="P50" s="8">
        <v>2295</v>
      </c>
      <c r="Q50" s="8">
        <v>1043</v>
      </c>
      <c r="R50" s="8">
        <f>N50*O50</f>
        <v>1252</v>
      </c>
      <c r="S50" s="8">
        <f>N50*P50</f>
        <v>2295</v>
      </c>
      <c r="U50" t="str">
        <v>United States</v>
      </c>
    </row>
    <row r="51" spans="1:21">
      <c r="A51" s="15" t="s">
        <v>123</v>
      </c>
      <c r="B51" s="9">
        <v>44536</v>
      </c>
      <c r="C51" s="10">
        <v>6</v>
      </c>
      <c r="D51" s="10" t="s">
        <v>59</v>
      </c>
      <c r="E51" s="10">
        <v>2021</v>
      </c>
      <c r="F51" s="10">
        <v>23</v>
      </c>
      <c r="G51" s="11" t="s">
        <v>11</v>
      </c>
      <c r="H51" s="10" t="s">
        <v>42</v>
      </c>
      <c r="I51" s="10" t="s">
        <v>8</v>
      </c>
      <c r="J51" s="10" t="s">
        <v>121</v>
      </c>
      <c r="K51" s="10" t="s">
        <v>61</v>
      </c>
      <c r="L51" s="10" t="s">
        <v>39</v>
      </c>
      <c r="M51" s="12" t="s">
        <v>15</v>
      </c>
      <c r="N51" s="10">
        <v>3</v>
      </c>
      <c r="O51" s="13">
        <v>420</v>
      </c>
      <c r="P51" s="13">
        <v>769</v>
      </c>
      <c r="Q51" s="13">
        <v>1047</v>
      </c>
      <c r="R51" s="13">
        <f>N51*O51</f>
        <v>1260</v>
      </c>
      <c r="S51" s="13">
        <f>N51*P51</f>
        <v>2307</v>
      </c>
    </row>
    <row r="52" spans="1:21">
      <c r="A52" s="14" t="s">
        <v>124</v>
      </c>
      <c r="B52" s="4">
        <v>44536</v>
      </c>
      <c r="C52" s="5">
        <v>6</v>
      </c>
      <c r="D52" s="5" t="s">
        <v>59</v>
      </c>
      <c r="E52" s="5">
        <v>2021</v>
      </c>
      <c r="F52" s="5">
        <v>47</v>
      </c>
      <c r="G52" s="6" t="s">
        <v>30</v>
      </c>
      <c r="H52" s="5" t="s">
        <v>42</v>
      </c>
      <c r="I52" s="5" t="s">
        <v>8</v>
      </c>
      <c r="J52" s="5" t="s">
        <v>121</v>
      </c>
      <c r="K52" s="5" t="s">
        <v>61</v>
      </c>
      <c r="L52" s="5" t="s">
        <v>39</v>
      </c>
      <c r="M52" s="7" t="s">
        <v>13</v>
      </c>
      <c r="N52" s="5">
        <v>1</v>
      </c>
      <c r="O52" s="8">
        <v>1266</v>
      </c>
      <c r="P52" s="8">
        <v>2320</v>
      </c>
      <c r="Q52" s="8">
        <v>1054</v>
      </c>
      <c r="R52" s="8">
        <f>N52*O52</f>
        <v>1266</v>
      </c>
      <c r="S52" s="8">
        <f>N52*P52</f>
        <v>2320</v>
      </c>
    </row>
    <row r="53" spans="1:21">
      <c r="A53" s="15" t="s">
        <v>125</v>
      </c>
      <c r="B53" s="9">
        <v>44540</v>
      </c>
      <c r="C53" s="10">
        <v>10</v>
      </c>
      <c r="D53" s="10" t="s">
        <v>59</v>
      </c>
      <c r="E53" s="10">
        <v>2021</v>
      </c>
      <c r="F53" s="10">
        <v>26</v>
      </c>
      <c r="G53" s="11" t="s">
        <v>20</v>
      </c>
      <c r="H53" s="10" t="s">
        <v>42</v>
      </c>
      <c r="I53" s="10" t="s">
        <v>8</v>
      </c>
      <c r="J53" s="10" t="s">
        <v>121</v>
      </c>
      <c r="K53" s="10" t="s">
        <v>61</v>
      </c>
      <c r="L53" s="10" t="s">
        <v>39</v>
      </c>
      <c r="M53" s="12" t="s">
        <v>12</v>
      </c>
      <c r="N53" s="10">
        <v>1</v>
      </c>
      <c r="O53" s="13">
        <v>1252</v>
      </c>
      <c r="P53" s="13">
        <v>2295</v>
      </c>
      <c r="Q53" s="13">
        <v>1043</v>
      </c>
      <c r="R53" s="13">
        <f>N53*O53</f>
        <v>1252</v>
      </c>
      <c r="S53" s="13">
        <f>N53*P53</f>
        <v>2295</v>
      </c>
    </row>
    <row r="54" spans="1:21">
      <c r="A54" s="14" t="s">
        <v>126</v>
      </c>
      <c r="B54" s="4">
        <v>44543</v>
      </c>
      <c r="C54" s="5">
        <v>13</v>
      </c>
      <c r="D54" s="5" t="s">
        <v>59</v>
      </c>
      <c r="E54" s="5">
        <v>2021</v>
      </c>
      <c r="F54" s="5">
        <v>44</v>
      </c>
      <c r="G54" s="6" t="s">
        <v>30</v>
      </c>
      <c r="H54" s="5" t="s">
        <v>38</v>
      </c>
      <c r="I54" s="5" t="s">
        <v>8</v>
      </c>
      <c r="J54" s="5" t="s">
        <v>121</v>
      </c>
      <c r="K54" s="5" t="s">
        <v>61</v>
      </c>
      <c r="L54" s="5" t="s">
        <v>39</v>
      </c>
      <c r="M54" s="7" t="s">
        <v>12</v>
      </c>
      <c r="N54" s="5">
        <v>1</v>
      </c>
      <c r="O54" s="8">
        <v>1252</v>
      </c>
      <c r="P54" s="8">
        <v>2295</v>
      </c>
      <c r="Q54" s="8">
        <v>1043</v>
      </c>
      <c r="R54" s="8">
        <f>N54*O54</f>
        <v>1252</v>
      </c>
      <c r="S54" s="8">
        <f>N54*P54</f>
        <v>2295</v>
      </c>
    </row>
    <row r="55" spans="1:21">
      <c r="A55" s="15" t="s">
        <v>127</v>
      </c>
      <c r="B55" s="9">
        <v>44543</v>
      </c>
      <c r="C55" s="10">
        <v>13</v>
      </c>
      <c r="D55" s="10" t="s">
        <v>59</v>
      </c>
      <c r="E55" s="10">
        <v>2021</v>
      </c>
      <c r="F55" s="10">
        <v>49</v>
      </c>
      <c r="G55" s="11" t="s">
        <v>30</v>
      </c>
      <c r="H55" s="10" t="s">
        <v>42</v>
      </c>
      <c r="I55" s="10" t="s">
        <v>8</v>
      </c>
      <c r="J55" s="10" t="s">
        <v>121</v>
      </c>
      <c r="K55" s="10" t="s">
        <v>61</v>
      </c>
      <c r="L55" s="10" t="s">
        <v>39</v>
      </c>
      <c r="M55" s="12" t="s">
        <v>12</v>
      </c>
      <c r="N55" s="10">
        <v>1</v>
      </c>
      <c r="O55" s="13">
        <v>1252</v>
      </c>
      <c r="P55" s="13">
        <v>2295</v>
      </c>
      <c r="Q55" s="13">
        <v>1043</v>
      </c>
      <c r="R55" s="13">
        <f>N55*O55</f>
        <v>1252</v>
      </c>
      <c r="S55" s="13">
        <f>N55*P55</f>
        <v>2295</v>
      </c>
    </row>
    <row r="56" spans="1:21">
      <c r="A56" s="14" t="s">
        <v>128</v>
      </c>
      <c r="B56" s="4">
        <v>44548</v>
      </c>
      <c r="C56" s="5">
        <v>18</v>
      </c>
      <c r="D56" s="5" t="s">
        <v>59</v>
      </c>
      <c r="E56" s="5">
        <v>2021</v>
      </c>
      <c r="F56" s="5">
        <v>26</v>
      </c>
      <c r="G56" s="6" t="s">
        <v>20</v>
      </c>
      <c r="H56" s="5" t="s">
        <v>38</v>
      </c>
      <c r="I56" s="5" t="s">
        <v>8</v>
      </c>
      <c r="J56" s="5" t="s">
        <v>121</v>
      </c>
      <c r="K56" s="5" t="s">
        <v>61</v>
      </c>
      <c r="L56" s="5" t="s">
        <v>39</v>
      </c>
      <c r="M56" s="7" t="s">
        <v>27</v>
      </c>
      <c r="N56" s="5">
        <v>3</v>
      </c>
      <c r="O56" s="8">
        <v>420</v>
      </c>
      <c r="P56" s="8">
        <v>769</v>
      </c>
      <c r="Q56" s="8">
        <v>1047</v>
      </c>
      <c r="R56" s="8">
        <f>N56*O56</f>
        <v>1260</v>
      </c>
      <c r="S56" s="8">
        <f>N56*P56</f>
        <v>2307</v>
      </c>
    </row>
    <row r="57" spans="1:21">
      <c r="A57" s="15" t="s">
        <v>129</v>
      </c>
      <c r="B57" s="9">
        <v>44551</v>
      </c>
      <c r="C57" s="10">
        <v>21</v>
      </c>
      <c r="D57" s="10" t="s">
        <v>59</v>
      </c>
      <c r="E57" s="10">
        <v>2021</v>
      </c>
      <c r="F57" s="10">
        <v>23</v>
      </c>
      <c r="G57" s="11" t="s">
        <v>11</v>
      </c>
      <c r="H57" s="10" t="s">
        <v>42</v>
      </c>
      <c r="I57" s="10" t="s">
        <v>8</v>
      </c>
      <c r="J57" s="10" t="s">
        <v>121</v>
      </c>
      <c r="K57" s="10" t="s">
        <v>61</v>
      </c>
      <c r="L57" s="10" t="s">
        <v>39</v>
      </c>
      <c r="M57" s="12" t="s">
        <v>15</v>
      </c>
      <c r="N57" s="10">
        <v>2</v>
      </c>
      <c r="O57" s="13">
        <v>420</v>
      </c>
      <c r="P57" s="13">
        <v>769</v>
      </c>
      <c r="Q57" s="13">
        <v>698</v>
      </c>
      <c r="R57" s="13">
        <f>N57*O57</f>
        <v>840</v>
      </c>
      <c r="S57" s="13">
        <f>N57*P57</f>
        <v>1538</v>
      </c>
    </row>
    <row r="58" spans="1:21">
      <c r="A58" s="14" t="s">
        <v>130</v>
      </c>
      <c r="B58" s="4">
        <v>44533</v>
      </c>
      <c r="C58" s="5">
        <v>3</v>
      </c>
      <c r="D58" s="5" t="s">
        <v>59</v>
      </c>
      <c r="E58" s="5">
        <v>2021</v>
      </c>
      <c r="F58" s="5">
        <v>37</v>
      </c>
      <c r="G58" s="6" t="s">
        <v>30</v>
      </c>
      <c r="H58" s="5" t="s">
        <v>38</v>
      </c>
      <c r="I58" s="5" t="s">
        <v>9</v>
      </c>
      <c r="J58" s="5" t="s">
        <v>131</v>
      </c>
      <c r="K58" s="5" t="s">
        <v>61</v>
      </c>
      <c r="L58" s="5" t="s">
        <v>39</v>
      </c>
      <c r="M58" s="7" t="s">
        <v>24</v>
      </c>
      <c r="N58" s="5">
        <v>2</v>
      </c>
      <c r="O58" s="8">
        <v>1252</v>
      </c>
      <c r="P58" s="8">
        <v>2295</v>
      </c>
      <c r="Q58" s="8">
        <v>2086</v>
      </c>
      <c r="R58" s="8">
        <f>N58*O58</f>
        <v>2504</v>
      </c>
      <c r="S58" s="8">
        <f>N58*P58</f>
        <v>4590</v>
      </c>
    </row>
    <row r="59" spans="1:21">
      <c r="A59" s="15" t="s">
        <v>132</v>
      </c>
      <c r="B59" s="9">
        <v>44531</v>
      </c>
      <c r="C59" s="10">
        <v>1</v>
      </c>
      <c r="D59" s="10" t="s">
        <v>59</v>
      </c>
      <c r="E59" s="10">
        <v>2021</v>
      </c>
      <c r="F59" s="10">
        <v>39</v>
      </c>
      <c r="G59" s="11" t="s">
        <v>30</v>
      </c>
      <c r="H59" s="10" t="s">
        <v>38</v>
      </c>
      <c r="I59" s="10" t="s">
        <v>9</v>
      </c>
      <c r="J59" s="10" t="s">
        <v>131</v>
      </c>
      <c r="K59" s="10" t="s">
        <v>61</v>
      </c>
      <c r="L59" s="10" t="s">
        <v>39</v>
      </c>
      <c r="M59" s="12" t="s">
        <v>24</v>
      </c>
      <c r="N59" s="10">
        <v>4</v>
      </c>
      <c r="O59" s="13">
        <v>1252</v>
      </c>
      <c r="P59" s="13">
        <v>2295</v>
      </c>
      <c r="Q59" s="13">
        <v>4172</v>
      </c>
      <c r="R59" s="13">
        <f>N59*O59</f>
        <v>5008</v>
      </c>
      <c r="S59" s="13">
        <f>N59*P59</f>
        <v>9180</v>
      </c>
    </row>
    <row r="60" spans="1:21">
      <c r="A60" s="14" t="s">
        <v>133</v>
      </c>
      <c r="B60" s="4">
        <v>44532</v>
      </c>
      <c r="C60" s="5">
        <v>2</v>
      </c>
      <c r="D60" s="5" t="s">
        <v>59</v>
      </c>
      <c r="E60" s="5">
        <v>2021</v>
      </c>
      <c r="F60" s="5">
        <v>37</v>
      </c>
      <c r="G60" s="6" t="s">
        <v>30</v>
      </c>
      <c r="H60" s="5" t="s">
        <v>42</v>
      </c>
      <c r="I60" s="5" t="s">
        <v>9</v>
      </c>
      <c r="J60" s="5" t="s">
        <v>131</v>
      </c>
      <c r="K60" s="5" t="s">
        <v>61</v>
      </c>
      <c r="L60" s="5" t="s">
        <v>39</v>
      </c>
      <c r="M60" s="7" t="s">
        <v>15</v>
      </c>
      <c r="N60" s="5">
        <v>2</v>
      </c>
      <c r="O60" s="8">
        <v>420</v>
      </c>
      <c r="P60" s="8">
        <v>769</v>
      </c>
      <c r="Q60" s="8">
        <v>698</v>
      </c>
      <c r="R60" s="8">
        <f>N60*O60</f>
        <v>840</v>
      </c>
      <c r="S60" s="8">
        <f>N60*P60</f>
        <v>1538</v>
      </c>
    </row>
    <row r="61" spans="1:21">
      <c r="A61" s="15" t="s">
        <v>134</v>
      </c>
      <c r="B61" s="9">
        <v>44535</v>
      </c>
      <c r="C61" s="10">
        <v>5</v>
      </c>
      <c r="D61" s="10" t="s">
        <v>59</v>
      </c>
      <c r="E61" s="10">
        <v>2021</v>
      </c>
      <c r="F61" s="10">
        <v>39</v>
      </c>
      <c r="G61" s="11" t="s">
        <v>30</v>
      </c>
      <c r="H61" s="10" t="s">
        <v>38</v>
      </c>
      <c r="I61" s="10" t="s">
        <v>9</v>
      </c>
      <c r="J61" s="10" t="s">
        <v>131</v>
      </c>
      <c r="K61" s="10" t="s">
        <v>61</v>
      </c>
      <c r="L61" s="10" t="s">
        <v>39</v>
      </c>
      <c r="M61" s="12" t="s">
        <v>24</v>
      </c>
      <c r="N61" s="10">
        <v>4</v>
      </c>
      <c r="O61" s="13">
        <v>1252</v>
      </c>
      <c r="P61" s="13">
        <v>2295</v>
      </c>
      <c r="Q61" s="13">
        <v>4172</v>
      </c>
      <c r="R61" s="13">
        <f>N61*O61</f>
        <v>5008</v>
      </c>
      <c r="S61" s="13">
        <f>N61*P61</f>
        <v>9180</v>
      </c>
    </row>
    <row r="62" spans="1:21">
      <c r="A62" s="14" t="s">
        <v>135</v>
      </c>
      <c r="B62" s="4">
        <v>44535</v>
      </c>
      <c r="C62" s="5">
        <v>5</v>
      </c>
      <c r="D62" s="5" t="s">
        <v>59</v>
      </c>
      <c r="E62" s="5">
        <v>2021</v>
      </c>
      <c r="F62" s="5">
        <v>37</v>
      </c>
      <c r="G62" s="6" t="s">
        <v>30</v>
      </c>
      <c r="H62" s="5" t="s">
        <v>38</v>
      </c>
      <c r="I62" s="5" t="s">
        <v>9</v>
      </c>
      <c r="J62" s="5" t="s">
        <v>131</v>
      </c>
      <c r="K62" s="5" t="s">
        <v>61</v>
      </c>
      <c r="L62" s="5" t="s">
        <v>39</v>
      </c>
      <c r="M62" s="7" t="s">
        <v>24</v>
      </c>
      <c r="N62" s="5">
        <v>1</v>
      </c>
      <c r="O62" s="8">
        <v>1252</v>
      </c>
      <c r="P62" s="8">
        <v>2295</v>
      </c>
      <c r="Q62" s="8">
        <v>1043</v>
      </c>
      <c r="R62" s="8">
        <f>N62*O62</f>
        <v>1252</v>
      </c>
      <c r="S62" s="8">
        <f>N62*P62</f>
        <v>2295</v>
      </c>
    </row>
    <row r="63" spans="1:21">
      <c r="A63" s="15" t="s">
        <v>136</v>
      </c>
      <c r="B63" s="9">
        <v>44537</v>
      </c>
      <c r="C63" s="10">
        <v>7</v>
      </c>
      <c r="D63" s="10" t="s">
        <v>59</v>
      </c>
      <c r="E63" s="10">
        <v>2021</v>
      </c>
      <c r="F63" s="10">
        <v>30</v>
      </c>
      <c r="G63" s="11" t="s">
        <v>20</v>
      </c>
      <c r="H63" s="10" t="s">
        <v>42</v>
      </c>
      <c r="I63" s="10" t="s">
        <v>9</v>
      </c>
      <c r="J63" s="10" t="s">
        <v>131</v>
      </c>
      <c r="K63" s="10" t="s">
        <v>61</v>
      </c>
      <c r="L63" s="10" t="s">
        <v>39</v>
      </c>
      <c r="M63" s="12" t="s">
        <v>26</v>
      </c>
      <c r="N63" s="10">
        <v>4</v>
      </c>
      <c r="O63" s="13">
        <v>420</v>
      </c>
      <c r="P63" s="13">
        <v>769</v>
      </c>
      <c r="Q63" s="13">
        <v>1396</v>
      </c>
      <c r="R63" s="13">
        <f>N63*O63</f>
        <v>1680</v>
      </c>
      <c r="S63" s="13">
        <f>N63*P63</f>
        <v>3076</v>
      </c>
    </row>
    <row r="64" spans="1:21">
      <c r="A64" s="14" t="s">
        <v>137</v>
      </c>
      <c r="B64" s="4">
        <v>44537</v>
      </c>
      <c r="C64" s="5">
        <v>7</v>
      </c>
      <c r="D64" s="5" t="s">
        <v>59</v>
      </c>
      <c r="E64" s="5">
        <v>2021</v>
      </c>
      <c r="F64" s="5">
        <v>38</v>
      </c>
      <c r="G64" s="6" t="s">
        <v>30</v>
      </c>
      <c r="H64" s="5" t="s">
        <v>42</v>
      </c>
      <c r="I64" s="5" t="s">
        <v>9</v>
      </c>
      <c r="J64" s="5" t="s">
        <v>131</v>
      </c>
      <c r="K64" s="5" t="s">
        <v>61</v>
      </c>
      <c r="L64" s="5" t="s">
        <v>39</v>
      </c>
      <c r="M64" s="7" t="s">
        <v>25</v>
      </c>
      <c r="N64" s="5">
        <v>2</v>
      </c>
      <c r="O64" s="8">
        <v>1266</v>
      </c>
      <c r="P64" s="8">
        <v>2320</v>
      </c>
      <c r="Q64" s="8">
        <v>2108</v>
      </c>
      <c r="R64" s="8">
        <f>N64*O64</f>
        <v>2532</v>
      </c>
      <c r="S64" s="8">
        <f>N64*P64</f>
        <v>4640</v>
      </c>
    </row>
    <row r="65" spans="1:19">
      <c r="A65" s="15" t="s">
        <v>138</v>
      </c>
      <c r="B65" s="9">
        <v>44538</v>
      </c>
      <c r="C65" s="10">
        <v>8</v>
      </c>
      <c r="D65" s="10" t="s">
        <v>59</v>
      </c>
      <c r="E65" s="10">
        <v>2021</v>
      </c>
      <c r="F65" s="10">
        <v>39</v>
      </c>
      <c r="G65" s="11" t="s">
        <v>30</v>
      </c>
      <c r="H65" s="10" t="s">
        <v>38</v>
      </c>
      <c r="I65" s="10" t="s">
        <v>9</v>
      </c>
      <c r="J65" s="10" t="s">
        <v>139</v>
      </c>
      <c r="K65" s="10" t="s">
        <v>61</v>
      </c>
      <c r="L65" s="10" t="s">
        <v>39</v>
      </c>
      <c r="M65" s="12" t="s">
        <v>32</v>
      </c>
      <c r="N65" s="10">
        <v>2</v>
      </c>
      <c r="O65" s="13">
        <v>1252</v>
      </c>
      <c r="P65" s="13">
        <v>2295</v>
      </c>
      <c r="Q65" s="13">
        <v>2086</v>
      </c>
      <c r="R65" s="13">
        <f>N65*O65</f>
        <v>2504</v>
      </c>
      <c r="S65" s="13">
        <f>N65*P65</f>
        <v>4590</v>
      </c>
    </row>
    <row r="66" spans="1:19">
      <c r="A66" s="14" t="s">
        <v>140</v>
      </c>
      <c r="B66" s="4">
        <v>44538</v>
      </c>
      <c r="C66" s="5">
        <v>8</v>
      </c>
      <c r="D66" s="5" t="s">
        <v>59</v>
      </c>
      <c r="E66" s="5">
        <v>2021</v>
      </c>
      <c r="F66" s="5">
        <v>35</v>
      </c>
      <c r="G66" s="6" t="s">
        <v>30</v>
      </c>
      <c r="H66" s="5" t="s">
        <v>38</v>
      </c>
      <c r="I66" s="5" t="s">
        <v>9</v>
      </c>
      <c r="J66" s="5" t="s">
        <v>131</v>
      </c>
      <c r="K66" s="5" t="s">
        <v>61</v>
      </c>
      <c r="L66" s="5" t="s">
        <v>39</v>
      </c>
      <c r="M66" s="7" t="s">
        <v>32</v>
      </c>
      <c r="N66" s="5">
        <v>1</v>
      </c>
      <c r="O66" s="8">
        <v>295</v>
      </c>
      <c r="P66" s="8">
        <v>540</v>
      </c>
      <c r="Q66" s="8">
        <v>245</v>
      </c>
      <c r="R66" s="8">
        <f>N66*O66</f>
        <v>295</v>
      </c>
      <c r="S66" s="8">
        <f>N66*P66</f>
        <v>540</v>
      </c>
    </row>
    <row r="67" spans="1:19">
      <c r="A67" s="15" t="s">
        <v>141</v>
      </c>
      <c r="B67" s="9">
        <v>44540</v>
      </c>
      <c r="C67" s="10">
        <v>10</v>
      </c>
      <c r="D67" s="10" t="s">
        <v>59</v>
      </c>
      <c r="E67" s="10">
        <v>2021</v>
      </c>
      <c r="F67" s="10">
        <v>34</v>
      </c>
      <c r="G67" s="11" t="s">
        <v>20</v>
      </c>
      <c r="H67" s="10" t="s">
        <v>38</v>
      </c>
      <c r="I67" s="10" t="s">
        <v>9</v>
      </c>
      <c r="J67" s="10" t="s">
        <v>131</v>
      </c>
      <c r="K67" s="10" t="s">
        <v>61</v>
      </c>
      <c r="L67" s="10" t="s">
        <v>39</v>
      </c>
      <c r="M67" s="12" t="s">
        <v>23</v>
      </c>
      <c r="N67" s="10">
        <v>2</v>
      </c>
      <c r="O67" s="13">
        <v>1252</v>
      </c>
      <c r="P67" s="13">
        <v>2295</v>
      </c>
      <c r="Q67" s="13">
        <v>2086</v>
      </c>
      <c r="R67" s="13">
        <f>N67*O67</f>
        <v>2504</v>
      </c>
      <c r="S67" s="13">
        <f>N67*P67</f>
        <v>4590</v>
      </c>
    </row>
    <row r="68" spans="1:19">
      <c r="A68" s="14" t="s">
        <v>142</v>
      </c>
      <c r="B68" s="4">
        <v>44540</v>
      </c>
      <c r="C68" s="5">
        <v>10</v>
      </c>
      <c r="D68" s="5" t="s">
        <v>59</v>
      </c>
      <c r="E68" s="5">
        <v>2021</v>
      </c>
      <c r="F68" s="5">
        <v>34</v>
      </c>
      <c r="G68" s="6" t="s">
        <v>20</v>
      </c>
      <c r="H68" s="5" t="s">
        <v>42</v>
      </c>
      <c r="I68" s="5" t="s">
        <v>9</v>
      </c>
      <c r="J68" s="5" t="s">
        <v>131</v>
      </c>
      <c r="K68" s="5" t="s">
        <v>61</v>
      </c>
      <c r="L68" s="5" t="s">
        <v>39</v>
      </c>
      <c r="M68" s="7" t="s">
        <v>16</v>
      </c>
      <c r="N68" s="5">
        <v>1</v>
      </c>
      <c r="O68" s="8">
        <v>295</v>
      </c>
      <c r="P68" s="8">
        <v>540</v>
      </c>
      <c r="Q68" s="8">
        <v>245</v>
      </c>
      <c r="R68" s="8">
        <f>N68*O68</f>
        <v>295</v>
      </c>
      <c r="S68" s="8">
        <f>N68*P68</f>
        <v>540</v>
      </c>
    </row>
    <row r="69" spans="1:19">
      <c r="A69" s="15" t="s">
        <v>143</v>
      </c>
      <c r="B69" s="9">
        <v>44540</v>
      </c>
      <c r="C69" s="10">
        <v>10</v>
      </c>
      <c r="D69" s="10" t="s">
        <v>59</v>
      </c>
      <c r="E69" s="10">
        <v>2021</v>
      </c>
      <c r="F69" s="10">
        <v>34</v>
      </c>
      <c r="G69" s="11" t="s">
        <v>20</v>
      </c>
      <c r="H69" s="10" t="s">
        <v>38</v>
      </c>
      <c r="I69" s="10" t="s">
        <v>9</v>
      </c>
      <c r="J69" s="10" t="s">
        <v>144</v>
      </c>
      <c r="K69" s="10" t="s">
        <v>61</v>
      </c>
      <c r="L69" s="10" t="s">
        <v>39</v>
      </c>
      <c r="M69" s="12" t="s">
        <v>22</v>
      </c>
      <c r="N69" s="10">
        <v>1</v>
      </c>
      <c r="O69" s="13">
        <v>1912</v>
      </c>
      <c r="P69" s="13">
        <v>3400</v>
      </c>
      <c r="Q69" s="13">
        <v>1488</v>
      </c>
      <c r="R69" s="13">
        <f>N69*O69</f>
        <v>1912</v>
      </c>
      <c r="S69" s="13">
        <f>N69*P69</f>
        <v>3400</v>
      </c>
    </row>
    <row r="70" spans="1:19">
      <c r="A70" s="14" t="s">
        <v>145</v>
      </c>
      <c r="B70" s="4">
        <v>44541</v>
      </c>
      <c r="C70" s="5">
        <v>11</v>
      </c>
      <c r="D70" s="5" t="s">
        <v>59</v>
      </c>
      <c r="E70" s="5">
        <v>2021</v>
      </c>
      <c r="F70" s="5">
        <v>37</v>
      </c>
      <c r="G70" s="6" t="s">
        <v>30</v>
      </c>
      <c r="H70" s="5" t="s">
        <v>42</v>
      </c>
      <c r="I70" s="5" t="s">
        <v>9</v>
      </c>
      <c r="J70" s="5" t="s">
        <v>131</v>
      </c>
      <c r="K70" s="5" t="s">
        <v>61</v>
      </c>
      <c r="L70" s="5" t="s">
        <v>39</v>
      </c>
      <c r="M70" s="7" t="s">
        <v>15</v>
      </c>
      <c r="N70" s="5">
        <v>1</v>
      </c>
      <c r="O70" s="8">
        <v>420</v>
      </c>
      <c r="P70" s="8">
        <v>769</v>
      </c>
      <c r="Q70" s="8">
        <v>349</v>
      </c>
      <c r="R70" s="8">
        <f>N70*O70</f>
        <v>420</v>
      </c>
      <c r="S70" s="8">
        <f>N70*P70</f>
        <v>769</v>
      </c>
    </row>
    <row r="71" spans="1:19">
      <c r="A71" s="15" t="s">
        <v>146</v>
      </c>
      <c r="B71" s="9">
        <v>44541</v>
      </c>
      <c r="C71" s="10">
        <v>11</v>
      </c>
      <c r="D71" s="10" t="s">
        <v>59</v>
      </c>
      <c r="E71" s="10">
        <v>2021</v>
      </c>
      <c r="F71" s="10">
        <v>38</v>
      </c>
      <c r="G71" s="11" t="s">
        <v>30</v>
      </c>
      <c r="H71" s="10" t="s">
        <v>38</v>
      </c>
      <c r="I71" s="10" t="s">
        <v>9</v>
      </c>
      <c r="J71" s="10" t="s">
        <v>131</v>
      </c>
      <c r="K71" s="10" t="s">
        <v>61</v>
      </c>
      <c r="L71" s="10" t="s">
        <v>39</v>
      </c>
      <c r="M71" s="12" t="s">
        <v>13</v>
      </c>
      <c r="N71" s="10">
        <v>1</v>
      </c>
      <c r="O71" s="13">
        <v>1266</v>
      </c>
      <c r="P71" s="13">
        <v>2320</v>
      </c>
      <c r="Q71" s="13">
        <v>1054</v>
      </c>
      <c r="R71" s="13">
        <f>N71*O71</f>
        <v>1266</v>
      </c>
      <c r="S71" s="13">
        <f>N71*P71</f>
        <v>2320</v>
      </c>
    </row>
    <row r="72" spans="1:19">
      <c r="A72" s="14" t="s">
        <v>147</v>
      </c>
      <c r="B72" s="4">
        <v>44542</v>
      </c>
      <c r="C72" s="5">
        <v>12</v>
      </c>
      <c r="D72" s="5" t="s">
        <v>59</v>
      </c>
      <c r="E72" s="5">
        <v>2021</v>
      </c>
      <c r="F72" s="5">
        <v>37</v>
      </c>
      <c r="G72" s="6" t="s">
        <v>30</v>
      </c>
      <c r="H72" s="5" t="s">
        <v>42</v>
      </c>
      <c r="I72" s="5" t="s">
        <v>9</v>
      </c>
      <c r="J72" s="5" t="s">
        <v>131</v>
      </c>
      <c r="K72" s="5" t="s">
        <v>61</v>
      </c>
      <c r="L72" s="5" t="s">
        <v>39</v>
      </c>
      <c r="M72" s="7" t="s">
        <v>15</v>
      </c>
      <c r="N72" s="5">
        <v>4</v>
      </c>
      <c r="O72" s="8">
        <v>420</v>
      </c>
      <c r="P72" s="8">
        <v>769</v>
      </c>
      <c r="Q72" s="8">
        <v>1396</v>
      </c>
      <c r="R72" s="8">
        <f>N72*O72</f>
        <v>1680</v>
      </c>
      <c r="S72" s="8">
        <f>N72*P72</f>
        <v>3076</v>
      </c>
    </row>
    <row r="73" spans="1:19">
      <c r="A73" s="15" t="s">
        <v>148</v>
      </c>
      <c r="B73" s="9">
        <v>44542</v>
      </c>
      <c r="C73" s="10">
        <v>12</v>
      </c>
      <c r="D73" s="10" t="s">
        <v>59</v>
      </c>
      <c r="E73" s="10">
        <v>2021</v>
      </c>
      <c r="F73" s="10">
        <v>38</v>
      </c>
      <c r="G73" s="11" t="s">
        <v>30</v>
      </c>
      <c r="H73" s="10" t="s">
        <v>38</v>
      </c>
      <c r="I73" s="10" t="s">
        <v>9</v>
      </c>
      <c r="J73" s="10" t="s">
        <v>144</v>
      </c>
      <c r="K73" s="10" t="s">
        <v>61</v>
      </c>
      <c r="L73" s="10" t="s">
        <v>39</v>
      </c>
      <c r="M73" s="12" t="s">
        <v>25</v>
      </c>
      <c r="N73" s="10">
        <v>1</v>
      </c>
      <c r="O73" s="13">
        <v>1266</v>
      </c>
      <c r="P73" s="13">
        <v>2320</v>
      </c>
      <c r="Q73" s="13">
        <v>1054</v>
      </c>
      <c r="R73" s="13">
        <f>N73*O73</f>
        <v>1266</v>
      </c>
      <c r="S73" s="13">
        <f>N73*P73</f>
        <v>2320</v>
      </c>
    </row>
    <row r="74" spans="1:19">
      <c r="A74" s="14" t="s">
        <v>149</v>
      </c>
      <c r="B74" s="4">
        <v>44543</v>
      </c>
      <c r="C74" s="5">
        <v>13</v>
      </c>
      <c r="D74" s="5" t="s">
        <v>59</v>
      </c>
      <c r="E74" s="5">
        <v>2021</v>
      </c>
      <c r="F74" s="5">
        <v>40</v>
      </c>
      <c r="G74" s="6" t="s">
        <v>30</v>
      </c>
      <c r="H74" s="5" t="s">
        <v>38</v>
      </c>
      <c r="I74" s="5" t="s">
        <v>9</v>
      </c>
      <c r="J74" s="5" t="s">
        <v>131</v>
      </c>
      <c r="K74" s="5" t="s">
        <v>61</v>
      </c>
      <c r="L74" s="5" t="s">
        <v>39</v>
      </c>
      <c r="M74" s="7" t="s">
        <v>33</v>
      </c>
      <c r="N74" s="5">
        <v>1</v>
      </c>
      <c r="O74" s="8">
        <v>308</v>
      </c>
      <c r="P74" s="8">
        <v>565</v>
      </c>
      <c r="Q74" s="8">
        <v>257</v>
      </c>
      <c r="R74" s="8">
        <f>N74*O74</f>
        <v>308</v>
      </c>
      <c r="S74" s="8">
        <f>N74*P74</f>
        <v>565</v>
      </c>
    </row>
    <row r="75" spans="1:19">
      <c r="A75" s="15" t="s">
        <v>150</v>
      </c>
      <c r="B75" s="9">
        <v>44544</v>
      </c>
      <c r="C75" s="10">
        <v>14</v>
      </c>
      <c r="D75" s="10" t="s">
        <v>59</v>
      </c>
      <c r="E75" s="10">
        <v>2021</v>
      </c>
      <c r="F75" s="10">
        <v>30</v>
      </c>
      <c r="G75" s="11" t="s">
        <v>20</v>
      </c>
      <c r="H75" s="10" t="s">
        <v>38</v>
      </c>
      <c r="I75" s="10" t="s">
        <v>9</v>
      </c>
      <c r="J75" s="10" t="s">
        <v>144</v>
      </c>
      <c r="K75" s="10" t="s">
        <v>61</v>
      </c>
      <c r="L75" s="10" t="s">
        <v>39</v>
      </c>
      <c r="M75" s="12" t="s">
        <v>13</v>
      </c>
      <c r="N75" s="10">
        <v>2</v>
      </c>
      <c r="O75" s="13">
        <v>1266</v>
      </c>
      <c r="P75" s="13">
        <v>2320</v>
      </c>
      <c r="Q75" s="13">
        <v>2108</v>
      </c>
      <c r="R75" s="13">
        <f>N75*O75</f>
        <v>2532</v>
      </c>
      <c r="S75" s="13">
        <f>N75*P75</f>
        <v>4640</v>
      </c>
    </row>
    <row r="76" spans="1:19">
      <c r="A76" s="14" t="s">
        <v>151</v>
      </c>
      <c r="B76" s="4">
        <v>44544</v>
      </c>
      <c r="C76" s="5">
        <v>14</v>
      </c>
      <c r="D76" s="5" t="s">
        <v>59</v>
      </c>
      <c r="E76" s="5">
        <v>2021</v>
      </c>
      <c r="F76" s="5">
        <v>32</v>
      </c>
      <c r="G76" s="6" t="s">
        <v>20</v>
      </c>
      <c r="H76" s="5" t="s">
        <v>42</v>
      </c>
      <c r="I76" s="5" t="s">
        <v>9</v>
      </c>
      <c r="J76" s="5" t="s">
        <v>131</v>
      </c>
      <c r="K76" s="5" t="s">
        <v>61</v>
      </c>
      <c r="L76" s="5" t="s">
        <v>39</v>
      </c>
      <c r="M76" s="7" t="s">
        <v>24</v>
      </c>
      <c r="N76" s="5">
        <v>1</v>
      </c>
      <c r="O76" s="8">
        <v>1252</v>
      </c>
      <c r="P76" s="8">
        <v>2295</v>
      </c>
      <c r="Q76" s="8">
        <v>1043</v>
      </c>
      <c r="R76" s="8">
        <f>N76*O76</f>
        <v>1252</v>
      </c>
      <c r="S76" s="8">
        <f>N76*P76</f>
        <v>2295</v>
      </c>
    </row>
    <row r="77" spans="1:19">
      <c r="A77" s="15" t="s">
        <v>152</v>
      </c>
      <c r="B77" s="9">
        <v>44545</v>
      </c>
      <c r="C77" s="10">
        <v>15</v>
      </c>
      <c r="D77" s="10" t="s">
        <v>59</v>
      </c>
      <c r="E77" s="10">
        <v>2021</v>
      </c>
      <c r="F77" s="10">
        <v>29</v>
      </c>
      <c r="G77" s="11" t="s">
        <v>20</v>
      </c>
      <c r="H77" s="10" t="s">
        <v>38</v>
      </c>
      <c r="I77" s="10" t="s">
        <v>9</v>
      </c>
      <c r="J77" s="10" t="s">
        <v>131</v>
      </c>
      <c r="K77" s="10" t="s">
        <v>61</v>
      </c>
      <c r="L77" s="10" t="s">
        <v>39</v>
      </c>
      <c r="M77" s="12" t="s">
        <v>25</v>
      </c>
      <c r="N77" s="10">
        <v>1</v>
      </c>
      <c r="O77" s="13">
        <v>1266</v>
      </c>
      <c r="P77" s="13">
        <v>2320</v>
      </c>
      <c r="Q77" s="13">
        <v>1054</v>
      </c>
      <c r="R77" s="13">
        <f>N77*O77</f>
        <v>1266</v>
      </c>
      <c r="S77" s="13">
        <f>N77*P77</f>
        <v>2320</v>
      </c>
    </row>
    <row r="78" spans="1:19">
      <c r="A78" s="14" t="s">
        <v>153</v>
      </c>
      <c r="B78" s="4">
        <v>44547</v>
      </c>
      <c r="C78" s="5">
        <v>17</v>
      </c>
      <c r="D78" s="5" t="s">
        <v>59</v>
      </c>
      <c r="E78" s="5">
        <v>2021</v>
      </c>
      <c r="F78" s="5">
        <v>37</v>
      </c>
      <c r="G78" s="6" t="s">
        <v>30</v>
      </c>
      <c r="H78" s="5" t="s">
        <v>38</v>
      </c>
      <c r="I78" s="5" t="s">
        <v>9</v>
      </c>
      <c r="J78" s="5" t="s">
        <v>144</v>
      </c>
      <c r="K78" s="5" t="s">
        <v>61</v>
      </c>
      <c r="L78" s="5" t="s">
        <v>39</v>
      </c>
      <c r="M78" s="7" t="s">
        <v>13</v>
      </c>
      <c r="N78" s="5">
        <v>2</v>
      </c>
      <c r="O78" s="8">
        <v>1266</v>
      </c>
      <c r="P78" s="8">
        <v>2320</v>
      </c>
      <c r="Q78" s="8">
        <v>2108</v>
      </c>
      <c r="R78" s="8">
        <f>N78*O78</f>
        <v>2532</v>
      </c>
      <c r="S78" s="8">
        <f>N78*P78</f>
        <v>4640</v>
      </c>
    </row>
    <row r="79" spans="1:19">
      <c r="A79" s="15" t="s">
        <v>154</v>
      </c>
      <c r="B79" s="9">
        <v>44548</v>
      </c>
      <c r="C79" s="10">
        <v>18</v>
      </c>
      <c r="D79" s="10" t="s">
        <v>59</v>
      </c>
      <c r="E79" s="10">
        <v>2021</v>
      </c>
      <c r="F79" s="10">
        <v>39</v>
      </c>
      <c r="G79" s="11" t="s">
        <v>30</v>
      </c>
      <c r="H79" s="10" t="s">
        <v>42</v>
      </c>
      <c r="I79" s="10" t="s">
        <v>9</v>
      </c>
      <c r="J79" s="10" t="s">
        <v>131</v>
      </c>
      <c r="K79" s="10" t="s">
        <v>61</v>
      </c>
      <c r="L79" s="10" t="s">
        <v>39</v>
      </c>
      <c r="M79" s="12" t="s">
        <v>23</v>
      </c>
      <c r="N79" s="10">
        <v>3</v>
      </c>
      <c r="O79" s="13">
        <v>1252</v>
      </c>
      <c r="P79" s="13">
        <v>2295</v>
      </c>
      <c r="Q79" s="13">
        <v>3129</v>
      </c>
      <c r="R79" s="13">
        <f>N79*O79</f>
        <v>3756</v>
      </c>
      <c r="S79" s="13">
        <f>N79*P79</f>
        <v>6885</v>
      </c>
    </row>
    <row r="80" spans="1:19">
      <c r="A80" s="14" t="s">
        <v>155</v>
      </c>
      <c r="B80" s="4">
        <v>44548</v>
      </c>
      <c r="C80" s="5">
        <v>18</v>
      </c>
      <c r="D80" s="5" t="s">
        <v>59</v>
      </c>
      <c r="E80" s="5">
        <v>2021</v>
      </c>
      <c r="F80" s="5">
        <v>36</v>
      </c>
      <c r="G80" s="6" t="s">
        <v>30</v>
      </c>
      <c r="H80" s="5" t="s">
        <v>42</v>
      </c>
      <c r="I80" s="5" t="s">
        <v>9</v>
      </c>
      <c r="J80" s="5" t="s">
        <v>144</v>
      </c>
      <c r="K80" s="5" t="s">
        <v>61</v>
      </c>
      <c r="L80" s="5" t="s">
        <v>39</v>
      </c>
      <c r="M80" s="7" t="s">
        <v>13</v>
      </c>
      <c r="N80" s="5">
        <v>1</v>
      </c>
      <c r="O80" s="8">
        <v>1266</v>
      </c>
      <c r="P80" s="8">
        <v>2320</v>
      </c>
      <c r="Q80" s="8">
        <v>1054</v>
      </c>
      <c r="R80" s="8">
        <f>N80*O80</f>
        <v>1266</v>
      </c>
      <c r="S80" s="8">
        <f>N80*P80</f>
        <v>2320</v>
      </c>
    </row>
    <row r="81" spans="1:19">
      <c r="A81" s="15" t="s">
        <v>156</v>
      </c>
      <c r="B81" s="9">
        <v>44549</v>
      </c>
      <c r="C81" s="10">
        <v>19</v>
      </c>
      <c r="D81" s="10" t="s">
        <v>59</v>
      </c>
      <c r="E81" s="10">
        <v>2021</v>
      </c>
      <c r="F81" s="10">
        <v>35</v>
      </c>
      <c r="G81" s="11" t="s">
        <v>30</v>
      </c>
      <c r="H81" s="10" t="s">
        <v>38</v>
      </c>
      <c r="I81" s="10" t="s">
        <v>9</v>
      </c>
      <c r="J81" s="10" t="s">
        <v>139</v>
      </c>
      <c r="K81" s="10" t="s">
        <v>61</v>
      </c>
      <c r="L81" s="10" t="s">
        <v>39</v>
      </c>
      <c r="M81" s="12" t="s">
        <v>31</v>
      </c>
      <c r="N81" s="10">
        <v>4</v>
      </c>
      <c r="O81" s="13">
        <v>1898</v>
      </c>
      <c r="P81" s="13">
        <v>3375</v>
      </c>
      <c r="Q81" s="13">
        <v>5908</v>
      </c>
      <c r="R81" s="13">
        <f>N81*O81</f>
        <v>7592</v>
      </c>
      <c r="S81" s="13">
        <f>N81*P81</f>
        <v>13500</v>
      </c>
    </row>
    <row r="82" spans="1:19">
      <c r="A82" s="14" t="s">
        <v>157</v>
      </c>
      <c r="B82" s="4">
        <v>44549</v>
      </c>
      <c r="C82" s="5">
        <v>19</v>
      </c>
      <c r="D82" s="5" t="s">
        <v>59</v>
      </c>
      <c r="E82" s="5">
        <v>2021</v>
      </c>
      <c r="F82" s="5">
        <v>37</v>
      </c>
      <c r="G82" s="6" t="s">
        <v>30</v>
      </c>
      <c r="H82" s="5" t="s">
        <v>42</v>
      </c>
      <c r="I82" s="5" t="s">
        <v>9</v>
      </c>
      <c r="J82" s="5" t="s">
        <v>139</v>
      </c>
      <c r="K82" s="5" t="s">
        <v>61</v>
      </c>
      <c r="L82" s="5" t="s">
        <v>39</v>
      </c>
      <c r="M82" s="7" t="s">
        <v>12</v>
      </c>
      <c r="N82" s="5">
        <v>4</v>
      </c>
      <c r="O82" s="8">
        <v>1252</v>
      </c>
      <c r="P82" s="8">
        <v>2295</v>
      </c>
      <c r="Q82" s="8">
        <v>4172</v>
      </c>
      <c r="R82" s="8">
        <f>N82*O82</f>
        <v>5008</v>
      </c>
      <c r="S82" s="8">
        <f>N82*P82</f>
        <v>9180</v>
      </c>
    </row>
    <row r="83" spans="1:19">
      <c r="A83" s="15" t="s">
        <v>158</v>
      </c>
      <c r="B83" s="9">
        <v>44549</v>
      </c>
      <c r="C83" s="10">
        <v>19</v>
      </c>
      <c r="D83" s="10" t="s">
        <v>59</v>
      </c>
      <c r="E83" s="10">
        <v>2021</v>
      </c>
      <c r="F83" s="10">
        <v>39</v>
      </c>
      <c r="G83" s="11" t="s">
        <v>30</v>
      </c>
      <c r="H83" s="10" t="s">
        <v>38</v>
      </c>
      <c r="I83" s="10" t="s">
        <v>9</v>
      </c>
      <c r="J83" s="10" t="s">
        <v>131</v>
      </c>
      <c r="K83" s="10" t="s">
        <v>61</v>
      </c>
      <c r="L83" s="10" t="s">
        <v>39</v>
      </c>
      <c r="M83" s="12" t="s">
        <v>24</v>
      </c>
      <c r="N83" s="10">
        <v>4</v>
      </c>
      <c r="O83" s="13">
        <v>1252</v>
      </c>
      <c r="P83" s="13">
        <v>2295</v>
      </c>
      <c r="Q83" s="13">
        <v>4172</v>
      </c>
      <c r="R83" s="13">
        <f>N83*O83</f>
        <v>5008</v>
      </c>
      <c r="S83" s="13">
        <f>N83*P83</f>
        <v>9180</v>
      </c>
    </row>
    <row r="84" spans="1:19">
      <c r="A84" s="14" t="s">
        <v>159</v>
      </c>
      <c r="B84" s="4">
        <v>44549</v>
      </c>
      <c r="C84" s="5">
        <v>19</v>
      </c>
      <c r="D84" s="5" t="s">
        <v>59</v>
      </c>
      <c r="E84" s="5">
        <v>2021</v>
      </c>
      <c r="F84" s="5">
        <v>39</v>
      </c>
      <c r="G84" s="6" t="s">
        <v>30</v>
      </c>
      <c r="H84" s="5" t="s">
        <v>38</v>
      </c>
      <c r="I84" s="5" t="s">
        <v>9</v>
      </c>
      <c r="J84" s="5" t="s">
        <v>144</v>
      </c>
      <c r="K84" s="5" t="s">
        <v>61</v>
      </c>
      <c r="L84" s="5" t="s">
        <v>39</v>
      </c>
      <c r="M84" s="7" t="s">
        <v>13</v>
      </c>
      <c r="N84" s="5">
        <v>1</v>
      </c>
      <c r="O84" s="8">
        <v>1266</v>
      </c>
      <c r="P84" s="8">
        <v>2320</v>
      </c>
      <c r="Q84" s="8">
        <v>1054</v>
      </c>
      <c r="R84" s="8">
        <f>N84*O84</f>
        <v>1266</v>
      </c>
      <c r="S84" s="8">
        <f>N84*P84</f>
        <v>2320</v>
      </c>
    </row>
    <row r="85" spans="1:19">
      <c r="A85" s="15" t="s">
        <v>160</v>
      </c>
      <c r="B85" s="9">
        <v>44552</v>
      </c>
      <c r="C85" s="10">
        <v>22</v>
      </c>
      <c r="D85" s="10" t="s">
        <v>59</v>
      </c>
      <c r="E85" s="10">
        <v>2021</v>
      </c>
      <c r="F85" s="10">
        <v>30</v>
      </c>
      <c r="G85" s="11" t="s">
        <v>20</v>
      </c>
      <c r="H85" s="10" t="s">
        <v>38</v>
      </c>
      <c r="I85" s="10" t="s">
        <v>9</v>
      </c>
      <c r="J85" s="10" t="s">
        <v>144</v>
      </c>
      <c r="K85" s="10" t="s">
        <v>61</v>
      </c>
      <c r="L85" s="10" t="s">
        <v>39</v>
      </c>
      <c r="M85" s="12" t="s">
        <v>13</v>
      </c>
      <c r="N85" s="10">
        <v>3</v>
      </c>
      <c r="O85" s="13">
        <v>1266</v>
      </c>
      <c r="P85" s="13">
        <v>2320</v>
      </c>
      <c r="Q85" s="13">
        <v>3162</v>
      </c>
      <c r="R85" s="13">
        <f>N85*O85</f>
        <v>3798</v>
      </c>
      <c r="S85" s="13">
        <f>N85*P85</f>
        <v>6960</v>
      </c>
    </row>
    <row r="86" spans="1:19">
      <c r="A86" s="14" t="s">
        <v>161</v>
      </c>
      <c r="B86" s="4">
        <v>44552</v>
      </c>
      <c r="C86" s="5">
        <v>22</v>
      </c>
      <c r="D86" s="5" t="s">
        <v>59</v>
      </c>
      <c r="E86" s="5">
        <v>2021</v>
      </c>
      <c r="F86" s="5">
        <v>41</v>
      </c>
      <c r="G86" s="6" t="s">
        <v>30</v>
      </c>
      <c r="H86" s="5" t="s">
        <v>42</v>
      </c>
      <c r="I86" s="5" t="s">
        <v>9</v>
      </c>
      <c r="J86" s="5" t="s">
        <v>131</v>
      </c>
      <c r="K86" s="5" t="s">
        <v>61</v>
      </c>
      <c r="L86" s="5" t="s">
        <v>39</v>
      </c>
      <c r="M86" s="7" t="s">
        <v>23</v>
      </c>
      <c r="N86" s="5">
        <v>3</v>
      </c>
      <c r="O86" s="8">
        <v>1252</v>
      </c>
      <c r="P86" s="8">
        <v>2295</v>
      </c>
      <c r="Q86" s="8">
        <v>3129</v>
      </c>
      <c r="R86" s="8">
        <f>N86*O86</f>
        <v>3756</v>
      </c>
      <c r="S86" s="8">
        <f>N86*P86</f>
        <v>6885</v>
      </c>
    </row>
    <row r="87" spans="1:19">
      <c r="A87" s="15" t="s">
        <v>162</v>
      </c>
      <c r="B87" s="9">
        <v>44553</v>
      </c>
      <c r="C87" s="10">
        <v>23</v>
      </c>
      <c r="D87" s="10" t="s">
        <v>59</v>
      </c>
      <c r="E87" s="10">
        <v>2021</v>
      </c>
      <c r="F87" s="10">
        <v>30</v>
      </c>
      <c r="G87" s="11" t="s">
        <v>20</v>
      </c>
      <c r="H87" s="10" t="s">
        <v>38</v>
      </c>
      <c r="I87" s="10" t="s">
        <v>9</v>
      </c>
      <c r="J87" s="10" t="s">
        <v>139</v>
      </c>
      <c r="K87" s="10" t="s">
        <v>61</v>
      </c>
      <c r="L87" s="10" t="s">
        <v>39</v>
      </c>
      <c r="M87" s="12" t="s">
        <v>25</v>
      </c>
      <c r="N87" s="10">
        <v>1</v>
      </c>
      <c r="O87" s="13">
        <v>1266</v>
      </c>
      <c r="P87" s="13">
        <v>2320</v>
      </c>
      <c r="Q87" s="13">
        <v>1054</v>
      </c>
      <c r="R87" s="13">
        <f>N87*O87</f>
        <v>1266</v>
      </c>
      <c r="S87" s="13">
        <f>N87*P87</f>
        <v>2320</v>
      </c>
    </row>
    <row r="88" spans="1:19">
      <c r="A88" s="14" t="s">
        <v>163</v>
      </c>
      <c r="B88" s="4">
        <v>44553</v>
      </c>
      <c r="C88" s="5">
        <v>23</v>
      </c>
      <c r="D88" s="5" t="s">
        <v>59</v>
      </c>
      <c r="E88" s="5">
        <v>2021</v>
      </c>
      <c r="F88" s="5">
        <v>35</v>
      </c>
      <c r="G88" s="6" t="s">
        <v>30</v>
      </c>
      <c r="H88" s="5" t="s">
        <v>38</v>
      </c>
      <c r="I88" s="5" t="s">
        <v>9</v>
      </c>
      <c r="J88" s="5" t="s">
        <v>131</v>
      </c>
      <c r="K88" s="5" t="s">
        <v>61</v>
      </c>
      <c r="L88" s="5" t="s">
        <v>39</v>
      </c>
      <c r="M88" s="7" t="s">
        <v>32</v>
      </c>
      <c r="N88" s="5">
        <v>1</v>
      </c>
      <c r="O88" s="8">
        <v>295</v>
      </c>
      <c r="P88" s="8">
        <v>540</v>
      </c>
      <c r="Q88" s="8">
        <v>245</v>
      </c>
      <c r="R88" s="8">
        <f>N88*O88</f>
        <v>295</v>
      </c>
      <c r="S88" s="8">
        <f>N88*P88</f>
        <v>540</v>
      </c>
    </row>
    <row r="89" spans="1:19">
      <c r="A89" s="15" t="s">
        <v>164</v>
      </c>
      <c r="B89" s="9">
        <v>44533</v>
      </c>
      <c r="C89" s="10">
        <v>3</v>
      </c>
      <c r="D89" s="10" t="s">
        <v>59</v>
      </c>
      <c r="E89" s="10">
        <v>2021</v>
      </c>
      <c r="F89" s="10">
        <v>37</v>
      </c>
      <c r="G89" s="11" t="s">
        <v>30</v>
      </c>
      <c r="H89" s="10" t="s">
        <v>42</v>
      </c>
      <c r="I89" s="10" t="s">
        <v>9</v>
      </c>
      <c r="J89" s="10" t="s">
        <v>144</v>
      </c>
      <c r="K89" s="10" t="s">
        <v>61</v>
      </c>
      <c r="L89" s="10" t="s">
        <v>39</v>
      </c>
      <c r="M89" s="12" t="s">
        <v>24</v>
      </c>
      <c r="N89" s="10">
        <v>1</v>
      </c>
      <c r="O89" s="13">
        <v>1252</v>
      </c>
      <c r="P89" s="13">
        <v>2295</v>
      </c>
      <c r="Q89" s="13">
        <v>1043</v>
      </c>
      <c r="R89" s="13">
        <f>N89*O89</f>
        <v>1252</v>
      </c>
      <c r="S89" s="13">
        <f>N89*P89</f>
        <v>2295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9766640115D45AAF6A9EEB4E4973E" ma:contentTypeVersion="11" ma:contentTypeDescription="Create a new document." ma:contentTypeScope="" ma:versionID="4c471196b14a47e4c1db457216984766">
  <xsd:schema xmlns:xsd="http://www.w3.org/2001/XMLSchema" xmlns:xs="http://www.w3.org/2001/XMLSchema" xmlns:p="http://schemas.microsoft.com/office/2006/metadata/properties" xmlns:ns2="3d5db6c9-4424-45d2-b57c-b3b03891e174" xmlns:ns3="aed9edca-548a-45a6-aac5-f15d86531b89" targetNamespace="http://schemas.microsoft.com/office/2006/metadata/properties" ma:root="true" ma:fieldsID="ee19e3d4887c237371e8c57424c4cbe0" ns2:_="" ns3:_="">
    <xsd:import namespace="3d5db6c9-4424-45d2-b57c-b3b03891e174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db6c9-4424-45d2-b57c-b3b03891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a63a4c-ffed-4acd-a919-82e3280c565e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db6c9-4424-45d2-b57c-b3b03891e174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6D690C-CB78-4CA8-BF1C-B3A21C096679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Dominika Kopinska</cp:lastModifiedBy>
  <cp:revision/>
  <dcterms:created xsi:type="dcterms:W3CDTF">2022-11-04T20:14:11Z</dcterms:created>
  <dcterms:modified xsi:type="dcterms:W3CDTF">2026-01-10T11:13:04Z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0x010100A799766640115D45AAF6A9EEB4E4973E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